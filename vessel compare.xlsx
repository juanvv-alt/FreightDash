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.vanvyve\Documents\excel\"/>
    </mc:Choice>
  </mc:AlternateContent>
  <xr:revisionPtr revIDLastSave="0" documentId="13_ncr:2001_{41828A93-1A30-4BDA-B723-6B2A45C591D6}" xr6:coauthVersionLast="47" xr6:coauthVersionMax="47" xr10:uidLastSave="{00000000-0000-0000-0000-000000000000}"/>
  <bookViews>
    <workbookView xWindow="57480" yWindow="-885" windowWidth="29040" windowHeight="15720" xr2:uid="{2B759BDB-7550-43C5-AB1D-4CCAD77D10DE}"/>
  </bookViews>
  <sheets>
    <sheet name="Base freight rates" sheetId="2" r:id="rId1"/>
    <sheet name="inputs" sheetId="3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G35" i="2" l="1"/>
  <c r="AG38" i="2" s="1"/>
  <c r="AG36" i="2"/>
  <c r="AG37" i="2"/>
  <c r="AG44" i="2"/>
  <c r="AG21" i="2"/>
  <c r="AG25" i="2" s="1"/>
  <c r="AG22" i="2"/>
  <c r="AG23" i="2"/>
  <c r="AG24" i="2"/>
  <c r="AG30" i="2"/>
  <c r="AF35" i="2"/>
  <c r="AF36" i="2"/>
  <c r="AF37" i="2"/>
  <c r="AF38" i="2" s="1"/>
  <c r="AF39" i="2"/>
  <c r="AF40" i="2"/>
  <c r="AF41" i="2"/>
  <c r="AF42" i="2"/>
  <c r="AF43" i="2"/>
  <c r="AF45" i="2" s="1"/>
  <c r="AF46" i="2" s="1"/>
  <c r="AF48" i="2" s="1"/>
  <c r="AF44" i="2"/>
  <c r="AF21" i="2"/>
  <c r="AF26" i="2" s="1"/>
  <c r="AF27" i="2" s="1"/>
  <c r="AF29" i="2" s="1"/>
  <c r="AF31" i="2" s="1"/>
  <c r="AF32" i="2" s="1"/>
  <c r="AF22" i="2"/>
  <c r="AF23" i="2"/>
  <c r="AF24" i="2"/>
  <c r="AF25" i="2"/>
  <c r="AF28" i="2"/>
  <c r="AF30" i="2"/>
  <c r="AG42" i="2" l="1"/>
  <c r="AG40" i="2"/>
  <c r="AG41" i="2" s="1"/>
  <c r="AG43" i="2" s="1"/>
  <c r="AG45" i="2" s="1"/>
  <c r="AG46" i="2" s="1"/>
  <c r="AG48" i="2" s="1"/>
  <c r="AG39" i="2"/>
  <c r="AG28" i="2"/>
  <c r="AG26" i="2"/>
  <c r="AG27" i="2" s="1"/>
  <c r="AG29" i="2" l="1"/>
  <c r="AG31" i="2" s="1"/>
  <c r="AG32" i="2" s="1"/>
  <c r="AE35" i="2" l="1"/>
  <c r="AE40" i="2" s="1"/>
  <c r="AE41" i="2" s="1"/>
  <c r="AE43" i="2" s="1"/>
  <c r="AE45" i="2" s="1"/>
  <c r="AE46" i="2" s="1"/>
  <c r="AE48" i="2" s="1"/>
  <c r="AE36" i="2"/>
  <c r="AE37" i="2"/>
  <c r="AE38" i="2"/>
  <c r="AE39" i="2"/>
  <c r="AE42" i="2"/>
  <c r="AE44" i="2"/>
  <c r="AE21" i="2"/>
  <c r="AE22" i="2"/>
  <c r="AE23" i="2"/>
  <c r="AE24" i="2"/>
  <c r="AE25" i="2"/>
  <c r="AE26" i="2"/>
  <c r="AE27" i="2" s="1"/>
  <c r="AE29" i="2" s="1"/>
  <c r="AE31" i="2" s="1"/>
  <c r="AE32" i="2" s="1"/>
  <c r="AE28" i="2"/>
  <c r="AE30" i="2"/>
  <c r="AD35" i="2"/>
  <c r="AD36" i="2"/>
  <c r="AD37" i="2"/>
  <c r="AD40" i="2" s="1"/>
  <c r="AD41" i="2" s="1"/>
  <c r="AD43" i="2" s="1"/>
  <c r="AD38" i="2"/>
  <c r="AD39" i="2"/>
  <c r="AD42" i="2"/>
  <c r="AD44" i="2"/>
  <c r="AD21" i="2"/>
  <c r="AD22" i="2"/>
  <c r="AD23" i="2"/>
  <c r="AD28" i="2" s="1"/>
  <c r="AD26" i="2"/>
  <c r="AD27" i="2" s="1"/>
  <c r="AD30" i="2"/>
  <c r="AC35" i="2"/>
  <c r="AC38" i="2" s="1"/>
  <c r="AC36" i="2"/>
  <c r="AC40" i="2" s="1"/>
  <c r="AC41" i="2" s="1"/>
  <c r="AC43" i="2" s="1"/>
  <c r="AC37" i="2"/>
  <c r="AC42" i="2"/>
  <c r="AC44" i="2"/>
  <c r="AC21" i="2"/>
  <c r="AC22" i="2"/>
  <c r="AC23" i="2"/>
  <c r="AC24" i="2"/>
  <c r="AC25" i="2"/>
  <c r="AC28" i="2"/>
  <c r="AC30" i="2"/>
  <c r="AB35" i="2"/>
  <c r="AB36" i="2"/>
  <c r="AB37" i="2"/>
  <c r="AB21" i="2"/>
  <c r="AB22" i="2"/>
  <c r="AB23" i="2"/>
  <c r="AD25" i="2" l="1"/>
  <c r="AD24" i="2"/>
  <c r="AD29" i="2"/>
  <c r="AD45" i="2"/>
  <c r="AD46" i="2" s="1"/>
  <c r="AD31" i="2"/>
  <c r="AD32" i="2" s="1"/>
  <c r="AC45" i="2"/>
  <c r="AC46" i="2" s="1"/>
  <c r="AC26" i="2"/>
  <c r="AC27" i="2" s="1"/>
  <c r="AC29" i="2" s="1"/>
  <c r="AC31" i="2" s="1"/>
  <c r="AC32" i="2" s="1"/>
  <c r="AC39" i="2"/>
  <c r="AB38" i="2"/>
  <c r="AB24" i="2"/>
  <c r="AB42" i="2"/>
  <c r="AB40" i="2"/>
  <c r="AB41" i="2" s="1"/>
  <c r="AB43" i="2" s="1"/>
  <c r="AB39" i="2"/>
  <c r="AB25" i="2"/>
  <c r="AB28" i="2"/>
  <c r="AB26" i="2"/>
  <c r="AB27" i="2" s="1"/>
  <c r="AB29" i="2" s="1"/>
  <c r="AD48" i="2" l="1"/>
  <c r="AC48" i="2"/>
  <c r="AA35" i="2" l="1"/>
  <c r="AA36" i="2"/>
  <c r="AA38" i="2" s="1"/>
  <c r="AA37" i="2"/>
  <c r="AA39" i="2"/>
  <c r="AA40" i="2"/>
  <c r="AA41" i="2" s="1"/>
  <c r="AA42" i="2"/>
  <c r="AA21" i="2"/>
  <c r="AA22" i="2"/>
  <c r="AA24" i="2" s="1"/>
  <c r="AA23" i="2"/>
  <c r="Z35" i="2"/>
  <c r="Z36" i="2"/>
  <c r="Z37" i="2"/>
  <c r="Z42" i="2" s="1"/>
  <c r="Z21" i="2"/>
  <c r="Z28" i="2" s="1"/>
  <c r="Z22" i="2"/>
  <c r="Z23" i="2"/>
  <c r="Z24" i="2" s="1"/>
  <c r="Z25" i="2"/>
  <c r="Z26" i="2"/>
  <c r="Z27" i="2" s="1"/>
  <c r="AA43" i="2" l="1"/>
  <c r="AA26" i="2"/>
  <c r="AA27" i="2" s="1"/>
  <c r="AA28" i="2"/>
  <c r="AA25" i="2"/>
  <c r="Z29" i="2"/>
  <c r="Z39" i="2"/>
  <c r="Z40" i="2"/>
  <c r="Z41" i="2" s="1"/>
  <c r="Z43" i="2" s="1"/>
  <c r="Z38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Y35" i="2"/>
  <c r="Y36" i="2"/>
  <c r="Y21" i="2"/>
  <c r="Y22" i="2"/>
  <c r="Y23" i="2"/>
  <c r="Y24" i="2" l="1"/>
  <c r="AA29" i="2"/>
  <c r="Y38" i="2"/>
  <c r="Y42" i="2"/>
  <c r="Y40" i="2"/>
  <c r="Y41" i="2" s="1"/>
  <c r="Y39" i="2"/>
  <c r="Y26" i="2"/>
  <c r="Y27" i="2" s="1"/>
  <c r="Y28" i="2"/>
  <c r="Y25" i="2"/>
  <c r="Y43" i="2" l="1"/>
  <c r="Y29" i="2"/>
  <c r="X35" i="2" l="1"/>
  <c r="X36" i="2"/>
  <c r="X21" i="2"/>
  <c r="X22" i="2"/>
  <c r="X26" i="2" s="1"/>
  <c r="X27" i="2" s="1"/>
  <c r="X23" i="2"/>
  <c r="X24" i="2"/>
  <c r="X25" i="2"/>
  <c r="W35" i="2"/>
  <c r="W42" i="2" s="1"/>
  <c r="W36" i="2"/>
  <c r="W38" i="2"/>
  <c r="W39" i="2"/>
  <c r="W40" i="2"/>
  <c r="W41" i="2" s="1"/>
  <c r="W21" i="2"/>
  <c r="W22" i="2"/>
  <c r="W23" i="2"/>
  <c r="V35" i="2"/>
  <c r="V36" i="2"/>
  <c r="V42" i="2"/>
  <c r="V21" i="2"/>
  <c r="V22" i="2"/>
  <c r="V23" i="2"/>
  <c r="V24" i="2"/>
  <c r="V25" i="2"/>
  <c r="U21" i="2"/>
  <c r="U22" i="2"/>
  <c r="U23" i="2"/>
  <c r="U25" i="2" s="1"/>
  <c r="U24" i="2"/>
  <c r="U26" i="2"/>
  <c r="U27" i="2"/>
  <c r="U28" i="2"/>
  <c r="U35" i="2"/>
  <c r="U36" i="2"/>
  <c r="U38" i="2" s="1"/>
  <c r="T21" i="2"/>
  <c r="T26" i="2" s="1"/>
  <c r="T27" i="2" s="1"/>
  <c r="T22" i="2"/>
  <c r="T24" i="2" s="1"/>
  <c r="T23" i="2"/>
  <c r="T35" i="2"/>
  <c r="T36" i="2"/>
  <c r="T38" i="2"/>
  <c r="T39" i="2"/>
  <c r="T40" i="2"/>
  <c r="T41" i="2" s="1"/>
  <c r="T42" i="2"/>
  <c r="S35" i="2"/>
  <c r="S36" i="2"/>
  <c r="S21" i="2"/>
  <c r="S25" i="2" s="1"/>
  <c r="S22" i="2"/>
  <c r="S23" i="2"/>
  <c r="S26" i="2" s="1"/>
  <c r="S27" i="2" s="1"/>
  <c r="R35" i="2"/>
  <c r="R36" i="2"/>
  <c r="R40" i="2" s="1"/>
  <c r="R41" i="2" s="1"/>
  <c r="R21" i="2"/>
  <c r="R26" i="2" s="1"/>
  <c r="R27" i="2" s="1"/>
  <c r="R22" i="2"/>
  <c r="R23" i="2"/>
  <c r="R24" i="2"/>
  <c r="R25" i="2"/>
  <c r="R28" i="2"/>
  <c r="V26" i="2" l="1"/>
  <c r="V27" i="2" s="1"/>
  <c r="W28" i="2"/>
  <c r="W24" i="2"/>
  <c r="V28" i="2"/>
  <c r="X39" i="2"/>
  <c r="R29" i="2"/>
  <c r="V29" i="2"/>
  <c r="U29" i="2"/>
  <c r="W43" i="2"/>
  <c r="X38" i="2"/>
  <c r="X42" i="2"/>
  <c r="X40" i="2"/>
  <c r="X41" i="2" s="1"/>
  <c r="X28" i="2"/>
  <c r="X29" i="2" s="1"/>
  <c r="W26" i="2"/>
  <c r="W27" i="2" s="1"/>
  <c r="W29" i="2" s="1"/>
  <c r="W25" i="2"/>
  <c r="V39" i="2"/>
  <c r="V38" i="2"/>
  <c r="V40" i="2"/>
  <c r="V41" i="2" s="1"/>
  <c r="V43" i="2" s="1"/>
  <c r="R42" i="2"/>
  <c r="R43" i="2" s="1"/>
  <c r="R39" i="2"/>
  <c r="T43" i="2"/>
  <c r="R38" i="2"/>
  <c r="U39" i="2"/>
  <c r="S39" i="2"/>
  <c r="U42" i="2"/>
  <c r="U40" i="2"/>
  <c r="U41" i="2" s="1"/>
  <c r="T28" i="2"/>
  <c r="T29" i="2" s="1"/>
  <c r="T25" i="2"/>
  <c r="S24" i="2"/>
  <c r="S28" i="2"/>
  <c r="S29" i="2" s="1"/>
  <c r="S38" i="2"/>
  <c r="S40" i="2"/>
  <c r="S41" i="2" s="1"/>
  <c r="S42" i="2"/>
  <c r="X43" i="2" l="1"/>
  <c r="U43" i="2"/>
  <c r="S43" i="2"/>
  <c r="Q35" i="2" l="1"/>
  <c r="Q36" i="2"/>
  <c r="Q38" i="2" s="1"/>
  <c r="Q21" i="2"/>
  <c r="Q22" i="2"/>
  <c r="Q23" i="2"/>
  <c r="Q26" i="2"/>
  <c r="Q27" i="2"/>
  <c r="P35" i="2"/>
  <c r="P36" i="2"/>
  <c r="P38" i="2" s="1"/>
  <c r="P42" i="2"/>
  <c r="P21" i="2"/>
  <c r="P22" i="2"/>
  <c r="P23" i="2"/>
  <c r="O35" i="2"/>
  <c r="O36" i="2"/>
  <c r="O38" i="2" s="1"/>
  <c r="N23" i="2"/>
  <c r="O21" i="2"/>
  <c r="O22" i="2"/>
  <c r="O23" i="2"/>
  <c r="O24" i="2"/>
  <c r="O25" i="2"/>
  <c r="N35" i="2"/>
  <c r="N36" i="2"/>
  <c r="N21" i="2"/>
  <c r="N26" i="2" s="1"/>
  <c r="N27" i="2" s="1"/>
  <c r="N22" i="2"/>
  <c r="N25" i="2"/>
  <c r="N28" i="2"/>
  <c r="M35" i="2"/>
  <c r="M36" i="2"/>
  <c r="M21" i="2"/>
  <c r="M24" i="2" s="1"/>
  <c r="M22" i="2"/>
  <c r="M23" i="2"/>
  <c r="L35" i="2"/>
  <c r="L36" i="2"/>
  <c r="L42" i="2"/>
  <c r="L21" i="2"/>
  <c r="L25" i="2" s="1"/>
  <c r="L22" i="2"/>
  <c r="L23" i="2"/>
  <c r="L24" i="2"/>
  <c r="L38" i="2" l="1"/>
  <c r="O26" i="2"/>
  <c r="O27" i="2" s="1"/>
  <c r="N24" i="2"/>
  <c r="P26" i="2"/>
  <c r="P27" i="2" s="1"/>
  <c r="M28" i="2"/>
  <c r="M26" i="2"/>
  <c r="M27" i="2" s="1"/>
  <c r="M29" i="2" s="1"/>
  <c r="P28" i="2"/>
  <c r="P29" i="2" s="1"/>
  <c r="Q24" i="2"/>
  <c r="L28" i="2"/>
  <c r="M25" i="2"/>
  <c r="P25" i="2"/>
  <c r="L26" i="2"/>
  <c r="L27" i="2" s="1"/>
  <c r="L29" i="2" s="1"/>
  <c r="P24" i="2"/>
  <c r="O28" i="2"/>
  <c r="O29" i="2"/>
  <c r="O42" i="2"/>
  <c r="N39" i="2"/>
  <c r="O40" i="2"/>
  <c r="O41" i="2" s="1"/>
  <c r="O39" i="2"/>
  <c r="L39" i="2"/>
  <c r="M39" i="2"/>
  <c r="L40" i="2"/>
  <c r="L41" i="2" s="1"/>
  <c r="L43" i="2" s="1"/>
  <c r="Q42" i="2"/>
  <c r="Q39" i="2"/>
  <c r="P40" i="2"/>
  <c r="P41" i="2" s="1"/>
  <c r="P43" i="2" s="1"/>
  <c r="Q40" i="2"/>
  <c r="Q41" i="2" s="1"/>
  <c r="M38" i="2"/>
  <c r="Q28" i="2"/>
  <c r="Q29" i="2" s="1"/>
  <c r="Q25" i="2"/>
  <c r="P39" i="2"/>
  <c r="N29" i="2"/>
  <c r="N38" i="2"/>
  <c r="N40" i="2"/>
  <c r="N41" i="2" s="1"/>
  <c r="N42" i="2"/>
  <c r="M42" i="2"/>
  <c r="M40" i="2"/>
  <c r="M41" i="2" s="1"/>
  <c r="Q43" i="2" l="1"/>
  <c r="M43" i="2"/>
  <c r="O43" i="2"/>
  <c r="N43" i="2"/>
  <c r="K35" i="2" l="1"/>
  <c r="K36" i="2"/>
  <c r="K39" i="2"/>
  <c r="K40" i="2"/>
  <c r="K41" i="2" s="1"/>
  <c r="K42" i="2"/>
  <c r="K21" i="2"/>
  <c r="K28" i="2" s="1"/>
  <c r="K22" i="2"/>
  <c r="K23" i="2"/>
  <c r="K24" i="2"/>
  <c r="K25" i="2"/>
  <c r="K26" i="2"/>
  <c r="K27" i="2"/>
  <c r="K29" i="2" l="1"/>
  <c r="K38" i="2"/>
  <c r="K43" i="2"/>
  <c r="J35" i="2"/>
  <c r="J36" i="2"/>
  <c r="J38" i="2"/>
  <c r="J39" i="2"/>
  <c r="J40" i="2"/>
  <c r="J41" i="2" s="1"/>
  <c r="J42" i="2"/>
  <c r="J21" i="2"/>
  <c r="J24" i="2" s="1"/>
  <c r="J22" i="2"/>
  <c r="J23" i="2"/>
  <c r="E35" i="2"/>
  <c r="F35" i="2"/>
  <c r="G35" i="2"/>
  <c r="H35" i="2"/>
  <c r="I35" i="2"/>
  <c r="E36" i="2"/>
  <c r="E38" i="2" s="1"/>
  <c r="F36" i="2"/>
  <c r="F38" i="2" s="1"/>
  <c r="G36" i="2"/>
  <c r="H36" i="2"/>
  <c r="I36" i="2"/>
  <c r="D35" i="2"/>
  <c r="D36" i="2"/>
  <c r="D38" i="2" s="1"/>
  <c r="C36" i="2"/>
  <c r="C38" i="2" s="1"/>
  <c r="C35" i="2"/>
  <c r="I21" i="2"/>
  <c r="I22" i="2"/>
  <c r="I23" i="2"/>
  <c r="H21" i="2"/>
  <c r="H22" i="2"/>
  <c r="H23" i="2"/>
  <c r="G21" i="2"/>
  <c r="G22" i="2"/>
  <c r="G23" i="2"/>
  <c r="F21" i="2"/>
  <c r="F24" i="2" s="1"/>
  <c r="F22" i="2"/>
  <c r="F23" i="2"/>
  <c r="E21" i="2"/>
  <c r="E22" i="2"/>
  <c r="E23" i="2"/>
  <c r="C21" i="2"/>
  <c r="C24" i="2" s="1"/>
  <c r="D21" i="2"/>
  <c r="D24" i="2" s="1"/>
  <c r="D22" i="2"/>
  <c r="D23" i="2"/>
  <c r="C22" i="2"/>
  <c r="C23" i="2"/>
  <c r="E24" i="2" l="1"/>
  <c r="J28" i="2"/>
  <c r="I38" i="2"/>
  <c r="J26" i="2"/>
  <c r="J27" i="2" s="1"/>
  <c r="I28" i="2"/>
  <c r="G24" i="2"/>
  <c r="H38" i="2"/>
  <c r="J25" i="2"/>
  <c r="H24" i="2"/>
  <c r="G38" i="2"/>
  <c r="J29" i="2"/>
  <c r="J43" i="2"/>
  <c r="E40" i="2"/>
  <c r="E41" i="2" s="1"/>
  <c r="I24" i="2"/>
  <c r="I40" i="2"/>
  <c r="I41" i="2" s="1"/>
  <c r="C40" i="2"/>
  <c r="C41" i="2" s="1"/>
  <c r="H40" i="2"/>
  <c r="H41" i="2" s="1"/>
  <c r="D39" i="2"/>
  <c r="I42" i="2"/>
  <c r="H39" i="2"/>
  <c r="H42" i="2"/>
  <c r="I25" i="2"/>
  <c r="C42" i="2"/>
  <c r="F42" i="2"/>
  <c r="C39" i="2"/>
  <c r="F40" i="2"/>
  <c r="F41" i="2" s="1"/>
  <c r="E42" i="2"/>
  <c r="E25" i="2"/>
  <c r="I26" i="2"/>
  <c r="I27" i="2" s="1"/>
  <c r="I29" i="2" s="1"/>
  <c r="I39" i="2"/>
  <c r="G39" i="2"/>
  <c r="D42" i="2"/>
  <c r="G40" i="2"/>
  <c r="G41" i="2" s="1"/>
  <c r="D40" i="2"/>
  <c r="D41" i="2" s="1"/>
  <c r="D43" i="2" s="1"/>
  <c r="G42" i="2"/>
  <c r="F39" i="2"/>
  <c r="E39" i="2"/>
  <c r="F25" i="2"/>
  <c r="H25" i="2"/>
  <c r="G26" i="2"/>
  <c r="G27" i="2" s="1"/>
  <c r="H26" i="2"/>
  <c r="H27" i="2" s="1"/>
  <c r="F26" i="2"/>
  <c r="F27" i="2" s="1"/>
  <c r="E26" i="2"/>
  <c r="E27" i="2" s="1"/>
  <c r="E28" i="2"/>
  <c r="H28" i="2"/>
  <c r="D26" i="2"/>
  <c r="D27" i="2" s="1"/>
  <c r="G25" i="2"/>
  <c r="G28" i="2"/>
  <c r="F28" i="2"/>
  <c r="C26" i="2"/>
  <c r="C27" i="2" s="1"/>
  <c r="C25" i="2"/>
  <c r="D25" i="2"/>
  <c r="D28" i="2"/>
  <c r="C28" i="2"/>
  <c r="H43" i="2" l="1"/>
  <c r="E43" i="2"/>
  <c r="C43" i="2"/>
  <c r="C44" i="2" s="1"/>
  <c r="I43" i="2"/>
  <c r="F43" i="2"/>
  <c r="G43" i="2"/>
  <c r="F29" i="2"/>
  <c r="G29" i="2"/>
  <c r="H29" i="2"/>
  <c r="E29" i="2"/>
  <c r="C29" i="2"/>
  <c r="C30" i="2" s="1"/>
  <c r="E30" i="2" s="1"/>
  <c r="G30" i="2" s="1"/>
  <c r="I30" i="2" s="1"/>
  <c r="D29" i="2"/>
  <c r="Z44" i="2" l="1"/>
  <c r="Z45" i="2" s="1"/>
  <c r="AB44" i="2"/>
  <c r="AB45" i="2" s="1"/>
  <c r="AA44" i="2"/>
  <c r="AA45" i="2" s="1"/>
  <c r="AA46" i="2" s="1"/>
  <c r="Y44" i="2"/>
  <c r="Y45" i="2" s="1"/>
  <c r="V44" i="2"/>
  <c r="V45" i="2" s="1"/>
  <c r="W44" i="2"/>
  <c r="W45" i="2" s="1"/>
  <c r="X44" i="2"/>
  <c r="X45" i="2" s="1"/>
  <c r="U44" i="2"/>
  <c r="U45" i="2" s="1"/>
  <c r="R44" i="2"/>
  <c r="R45" i="2" s="1"/>
  <c r="S44" i="2"/>
  <c r="S45" i="2" s="1"/>
  <c r="T44" i="2"/>
  <c r="T45" i="2" s="1"/>
  <c r="Q44" i="2"/>
  <c r="Q45" i="2" s="1"/>
  <c r="I31" i="2"/>
  <c r="K30" i="2"/>
  <c r="O44" i="2"/>
  <c r="O45" i="2" s="1"/>
  <c r="N44" i="2"/>
  <c r="N45" i="2" s="1"/>
  <c r="L44" i="2"/>
  <c r="L45" i="2" s="1"/>
  <c r="P44" i="2"/>
  <c r="P45" i="2" s="1"/>
  <c r="M44" i="2"/>
  <c r="M45" i="2" s="1"/>
  <c r="K44" i="2"/>
  <c r="K45" i="2" s="1"/>
  <c r="F44" i="2"/>
  <c r="F45" i="2" s="1"/>
  <c r="J44" i="2"/>
  <c r="J45" i="2" s="1"/>
  <c r="G44" i="2"/>
  <c r="G45" i="2" s="1"/>
  <c r="I44" i="2"/>
  <c r="I45" i="2" s="1"/>
  <c r="C45" i="2"/>
  <c r="Z46" i="2" s="1"/>
  <c r="E44" i="2"/>
  <c r="E45" i="2" s="1"/>
  <c r="H44" i="2"/>
  <c r="H45" i="2" s="1"/>
  <c r="D44" i="2"/>
  <c r="D45" i="2" s="1"/>
  <c r="G31" i="2"/>
  <c r="C31" i="2"/>
  <c r="D30" i="2"/>
  <c r="F30" i="2" s="1"/>
  <c r="AB46" i="2" l="1"/>
  <c r="X46" i="2"/>
  <c r="Y46" i="2"/>
  <c r="W46" i="2"/>
  <c r="V46" i="2"/>
  <c r="S46" i="2"/>
  <c r="R46" i="2"/>
  <c r="Q46" i="2"/>
  <c r="T46" i="2"/>
  <c r="U46" i="2"/>
  <c r="K46" i="2"/>
  <c r="M46" i="2"/>
  <c r="L46" i="2"/>
  <c r="D46" i="2"/>
  <c r="N46" i="2"/>
  <c r="I32" i="2"/>
  <c r="P46" i="2"/>
  <c r="H46" i="2"/>
  <c r="O46" i="2"/>
  <c r="M30" i="2"/>
  <c r="K31" i="2"/>
  <c r="K32" i="2" s="1"/>
  <c r="E46" i="2"/>
  <c r="G46" i="2"/>
  <c r="J46" i="2"/>
  <c r="F46" i="2"/>
  <c r="I46" i="2"/>
  <c r="G32" i="2"/>
  <c r="H30" i="2"/>
  <c r="F31" i="2"/>
  <c r="F32" i="2" s="1"/>
  <c r="D31" i="2"/>
  <c r="D32" i="2" s="1"/>
  <c r="E31" i="2"/>
  <c r="E32" i="2" s="1"/>
  <c r="O30" i="2" l="1"/>
  <c r="M31" i="2"/>
  <c r="M32" i="2" s="1"/>
  <c r="M48" i="2" s="1"/>
  <c r="I48" i="2"/>
  <c r="K48" i="2"/>
  <c r="E48" i="2"/>
  <c r="C55" i="2" s="1"/>
  <c r="D48" i="2"/>
  <c r="F48" i="2"/>
  <c r="H31" i="2"/>
  <c r="H32" i="2" s="1"/>
  <c r="H48" i="2" s="1"/>
  <c r="J30" i="2"/>
  <c r="G48" i="2"/>
  <c r="Q30" i="2" l="1"/>
  <c r="O31" i="2"/>
  <c r="O32" i="2" s="1"/>
  <c r="O48" i="2" s="1"/>
  <c r="J31" i="2"/>
  <c r="J32" i="2" s="1"/>
  <c r="J48" i="2" s="1"/>
  <c r="L30" i="2"/>
  <c r="Q31" i="2" l="1"/>
  <c r="Q32" i="2" s="1"/>
  <c r="Q48" i="2" s="1"/>
  <c r="S30" i="2"/>
  <c r="N30" i="2"/>
  <c r="L31" i="2"/>
  <c r="L32" i="2" s="1"/>
  <c r="L48" i="2" s="1"/>
  <c r="U30" i="2" l="1"/>
  <c r="S31" i="2"/>
  <c r="S32" i="2" s="1"/>
  <c r="S48" i="2" s="1"/>
  <c r="P30" i="2"/>
  <c r="N31" i="2"/>
  <c r="N32" i="2" s="1"/>
  <c r="N48" i="2" s="1"/>
  <c r="U31" i="2" l="1"/>
  <c r="U32" i="2" s="1"/>
  <c r="U48" i="2" s="1"/>
  <c r="W30" i="2"/>
  <c r="P31" i="2"/>
  <c r="P32" i="2" s="1"/>
  <c r="P48" i="2" s="1"/>
  <c r="R30" i="2"/>
  <c r="Y30" i="2" l="1"/>
  <c r="W31" i="2"/>
  <c r="W32" i="2" s="1"/>
  <c r="W48" i="2" s="1"/>
  <c r="T30" i="2"/>
  <c r="R31" i="2"/>
  <c r="R32" i="2" s="1"/>
  <c r="R48" i="2" s="1"/>
  <c r="Y31" i="2" l="1"/>
  <c r="Y32" i="2" s="1"/>
  <c r="Y48" i="2" s="1"/>
  <c r="AA30" i="2"/>
  <c r="T31" i="2"/>
  <c r="T32" i="2" s="1"/>
  <c r="T48" i="2" s="1"/>
  <c r="V30" i="2"/>
  <c r="AA31" i="2" l="1"/>
  <c r="AA32" i="2" s="1"/>
  <c r="AA48" i="2" s="1"/>
  <c r="AB30" i="2"/>
  <c r="AB31" i="2" s="1"/>
  <c r="AB32" i="2" s="1"/>
  <c r="AB48" i="2" s="1"/>
  <c r="X30" i="2"/>
  <c r="V31" i="2"/>
  <c r="V32" i="2" s="1"/>
  <c r="V48" i="2" s="1"/>
  <c r="X31" i="2" l="1"/>
  <c r="X32" i="2" s="1"/>
  <c r="X48" i="2" s="1"/>
  <c r="Z30" i="2"/>
  <c r="Z31" i="2" s="1"/>
  <c r="Z32" i="2" s="1"/>
  <c r="Z48" i="2" s="1"/>
</calcChain>
</file>

<file path=xl/sharedStrings.xml><?xml version="1.0" encoding="utf-8"?>
<sst xmlns="http://schemas.openxmlformats.org/spreadsheetml/2006/main" count="107" uniqueCount="88">
  <si>
    <t>avg 5tc</t>
  </si>
  <si>
    <t>p3</t>
  </si>
  <si>
    <t>p6</t>
  </si>
  <si>
    <t>2a</t>
  </si>
  <si>
    <t>voyage</t>
  </si>
  <si>
    <t>ballast distance</t>
  </si>
  <si>
    <t>laden distance</t>
  </si>
  <si>
    <t>port expenses</t>
  </si>
  <si>
    <t>various exp</t>
  </si>
  <si>
    <t>intake</t>
  </si>
  <si>
    <t>draft restriction</t>
  </si>
  <si>
    <t>voy ID</t>
  </si>
  <si>
    <t>freight</t>
  </si>
  <si>
    <t>index used</t>
  </si>
  <si>
    <t>BKI</t>
  </si>
  <si>
    <t>dwt</t>
  </si>
  <si>
    <t>draft</t>
  </si>
  <si>
    <t>cbm</t>
  </si>
  <si>
    <t>MGO</t>
  </si>
  <si>
    <t>laden speed</t>
  </si>
  <si>
    <t>ballast speed</t>
  </si>
  <si>
    <t>port working</t>
  </si>
  <si>
    <t>tpc</t>
  </si>
  <si>
    <t>laden cons</t>
  </si>
  <si>
    <t>ballast cons</t>
  </si>
  <si>
    <t>Market rates</t>
  </si>
  <si>
    <t>VFO</t>
  </si>
  <si>
    <t>load rate</t>
  </si>
  <si>
    <t>disrate</t>
  </si>
  <si>
    <t>tt turntimes</t>
  </si>
  <si>
    <t>Rate</t>
  </si>
  <si>
    <t>SGP-000105</t>
  </si>
  <si>
    <t>Abbot Point to VN</t>
  </si>
  <si>
    <t>vessel</t>
  </si>
  <si>
    <t>bki</t>
  </si>
  <si>
    <t>speed L</t>
  </si>
  <si>
    <t>speed B</t>
  </si>
  <si>
    <t>cons L</t>
  </si>
  <si>
    <t>cons B</t>
  </si>
  <si>
    <t>cons Port</t>
  </si>
  <si>
    <t>duration B</t>
  </si>
  <si>
    <t xml:space="preserve">duration L </t>
  </si>
  <si>
    <t>Port Stay</t>
  </si>
  <si>
    <t>Hire</t>
  </si>
  <si>
    <t>fuel price</t>
  </si>
  <si>
    <t>WF</t>
  </si>
  <si>
    <t>mgo price</t>
  </si>
  <si>
    <t>IFO</t>
  </si>
  <si>
    <t>total cost</t>
  </si>
  <si>
    <t>freight nett</t>
  </si>
  <si>
    <t>TCE</t>
  </si>
  <si>
    <t>Yangze 22</t>
  </si>
  <si>
    <t>consumption</t>
  </si>
  <si>
    <t>% better</t>
  </si>
  <si>
    <t>AQUASALWADOR</t>
  </si>
  <si>
    <t>ZAKYNTHOS</t>
  </si>
  <si>
    <t>SEACON HAMBURG</t>
  </si>
  <si>
    <t>Xing Huan Hai</t>
  </si>
  <si>
    <t>voyage 1</t>
  </si>
  <si>
    <t>voyage 2</t>
  </si>
  <si>
    <t>SGP-000088</t>
  </si>
  <si>
    <t>Santos to Qingdao</t>
  </si>
  <si>
    <t>loadrate fact</t>
  </si>
  <si>
    <t>disrate fact</t>
  </si>
  <si>
    <t>Lestari Tbn</t>
  </si>
  <si>
    <t>Weighted % average</t>
  </si>
  <si>
    <t>voyage duration</t>
  </si>
  <si>
    <t>XING HUAN HAI</t>
  </si>
  <si>
    <t>Orient Point</t>
  </si>
  <si>
    <t>RB Jordana</t>
  </si>
  <si>
    <t>BH ASSEMBLE</t>
  </si>
  <si>
    <t>golden wave</t>
  </si>
  <si>
    <t>light venture</t>
  </si>
  <si>
    <t>ASL Galaxy</t>
  </si>
  <si>
    <t>Yangze 18</t>
  </si>
  <si>
    <t>SHINE PEARL</t>
  </si>
  <si>
    <t>Amori</t>
  </si>
  <si>
    <t>Pan Flower</t>
  </si>
  <si>
    <t xml:space="preserve">VSC POSEIDON </t>
  </si>
  <si>
    <t>Bbg Yongjiang</t>
  </si>
  <si>
    <t>DL Acacia</t>
  </si>
  <si>
    <t>America</t>
  </si>
  <si>
    <t xml:space="preserve">Ssi Irresistible </t>
  </si>
  <si>
    <t>W-ARCTURUS</t>
  </si>
  <si>
    <t xml:space="preserve">YASA H MULLA </t>
  </si>
  <si>
    <t>SILVERGATE</t>
  </si>
  <si>
    <t xml:space="preserve">STAR ALTAIR </t>
  </si>
  <si>
    <t>Gia Aspiratio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</si>
</sst>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0.0"/>
    <numFmt numFmtId="165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rgb="FF111111"/>
      <name val="Arial"/>
      <family val="2"/>
    </font>
    <font>
      <sz val="8"/>
      <color rgb="FF111111"/>
      <name val="Arial"/>
      <family val="2"/>
    </font>
    <font>
      <b/>
      <sz val="10.5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 indent="1"/>
    </xf>
    <xf numFmtId="0" fontId="4" fillId="0" borderId="0" xfId="0" applyFont="1"/>
    <xf numFmtId="44" fontId="0" fillId="0" borderId="0" xfId="1" applyFont="1"/>
    <xf numFmtId="9" fontId="0" fillId="0" borderId="0" xfId="2" applyFont="1"/>
    <xf numFmtId="9" fontId="2" fillId="0" borderId="1" xfId="2" applyFont="1" applyBorder="1"/>
    <xf numFmtId="0" fontId="3" fillId="0" borderId="0" xfId="0" applyFont="1"/>
    <xf numFmtId="0" fontId="0" fillId="2" borderId="0" xfId="0" applyFill="1"/>
    <xf numFmtId="44" fontId="0" fillId="2" borderId="0" xfId="1" applyFont="1" applyFill="1"/>
    <xf numFmtId="2" fontId="0" fillId="2" borderId="0" xfId="0" applyNumberFormat="1" applyFill="1"/>
    <xf numFmtId="2" fontId="0" fillId="0" borderId="0" xfId="0" applyNumberFormat="1"/>
    <xf numFmtId="164" fontId="0" fillId="2" borderId="0" xfId="0" applyNumberFormat="1" applyFill="1"/>
    <xf numFmtId="164" fontId="0" fillId="0" borderId="0" xfId="0" applyNumberFormat="1"/>
    <xf numFmtId="165" fontId="0" fillId="0" borderId="0" xfId="2" applyNumberFormat="1" applyFont="1"/>
    <xf numFmtId="165" fontId="0" fillId="0" borderId="0" xfId="0" applyNumberFormat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0" xfId="0" applyFill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4" borderId="2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9" fontId="0" fillId="4" borderId="9" xfId="0" applyNumberFormat="1" applyFill="1" applyBorder="1"/>
    <xf numFmtId="0" fontId="5" fillId="0" borderId="0" xfId="0" applyFont="1"/>
    <xf numFmtId="0" fontId="6" fillId="0" borderId="0" xfId="0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2D156-C784-4604-A216-37B569E3CC8D}">
  <dimension ref="A2:AG71"/>
  <sheetViews>
    <sheetView tabSelected="1" topLeftCell="V13" workbookViewId="0">
      <selection activeCell="AJ33" sqref="AJ33"/>
    </sheetView>
  </sheetViews>
  <sheetFormatPr defaultRowHeight="14.5" x14ac:dyDescent="0.35"/>
  <cols>
    <col min="2" max="2" width="18.26953125" customWidth="1"/>
    <col min="3" max="9" width="14.90625" customWidth="1"/>
    <col min="10" max="10" width="16.453125" customWidth="1"/>
    <col min="11" max="11" width="15.453125" customWidth="1"/>
    <col min="12" max="12" width="18.36328125" customWidth="1"/>
    <col min="13" max="13" width="14.36328125" customWidth="1"/>
    <col min="14" max="14" width="13" customWidth="1"/>
    <col min="15" max="15" width="18.90625" customWidth="1"/>
    <col min="16" max="16" width="17.26953125" customWidth="1"/>
    <col min="17" max="17" width="15.54296875" customWidth="1"/>
    <col min="18" max="18" width="12.6328125" customWidth="1"/>
    <col min="19" max="19" width="14.08984375" customWidth="1"/>
    <col min="20" max="20" width="13.36328125" customWidth="1"/>
    <col min="21" max="21" width="13.26953125" customWidth="1"/>
    <col min="22" max="22" width="16.36328125" customWidth="1"/>
    <col min="23" max="23" width="12.453125" customWidth="1"/>
    <col min="24" max="24" width="13.36328125" customWidth="1"/>
    <col min="25" max="25" width="13.6328125" customWidth="1"/>
    <col min="26" max="26" width="21.1796875" customWidth="1"/>
    <col min="28" max="28" width="15.6328125" customWidth="1"/>
    <col min="30" max="30" width="13" customWidth="1"/>
    <col min="31" max="31" width="14.90625" customWidth="1"/>
    <col min="32" max="32" width="17.6328125" customWidth="1"/>
    <col min="33" max="33" width="18.54296875" customWidth="1"/>
  </cols>
  <sheetData>
    <row r="2" spans="1:33" x14ac:dyDescent="0.35">
      <c r="B2" s="25" t="s">
        <v>43</v>
      </c>
      <c r="C2" s="26">
        <v>20000</v>
      </c>
    </row>
    <row r="3" spans="1:33" x14ac:dyDescent="0.35">
      <c r="B3" s="27" t="s">
        <v>44</v>
      </c>
      <c r="C3" s="28">
        <v>780</v>
      </c>
    </row>
    <row r="4" spans="1:33" x14ac:dyDescent="0.35">
      <c r="B4" s="27" t="s">
        <v>46</v>
      </c>
      <c r="C4" s="28">
        <v>1200</v>
      </c>
    </row>
    <row r="5" spans="1:33" x14ac:dyDescent="0.35">
      <c r="B5" s="29" t="s">
        <v>45</v>
      </c>
      <c r="C5" s="30">
        <v>1.07</v>
      </c>
    </row>
    <row r="9" spans="1:33" x14ac:dyDescent="0.35">
      <c r="B9" t="s">
        <v>11</v>
      </c>
      <c r="C9" t="s">
        <v>4</v>
      </c>
      <c r="D9" t="s">
        <v>5</v>
      </c>
      <c r="E9" t="s">
        <v>6</v>
      </c>
      <c r="F9" t="s">
        <v>10</v>
      </c>
      <c r="G9" t="s">
        <v>27</v>
      </c>
      <c r="H9" t="s">
        <v>28</v>
      </c>
      <c r="I9" t="s">
        <v>62</v>
      </c>
      <c r="J9" t="s">
        <v>63</v>
      </c>
      <c r="K9" t="s">
        <v>29</v>
      </c>
      <c r="L9" t="s">
        <v>7</v>
      </c>
      <c r="M9" t="s">
        <v>8</v>
      </c>
      <c r="N9" t="s">
        <v>9</v>
      </c>
      <c r="O9" t="s">
        <v>12</v>
      </c>
      <c r="P9" t="s">
        <v>13</v>
      </c>
      <c r="R9" t="s">
        <v>30</v>
      </c>
    </row>
    <row r="10" spans="1:33" x14ac:dyDescent="0.35">
      <c r="B10" s="2" t="s">
        <v>31</v>
      </c>
      <c r="C10" t="s">
        <v>32</v>
      </c>
      <c r="D10">
        <v>3734</v>
      </c>
      <c r="E10">
        <v>4023</v>
      </c>
      <c r="F10">
        <v>15</v>
      </c>
      <c r="G10">
        <v>35000</v>
      </c>
      <c r="H10">
        <v>8000</v>
      </c>
      <c r="I10">
        <v>1</v>
      </c>
      <c r="J10">
        <v>1</v>
      </c>
      <c r="K10">
        <v>36</v>
      </c>
      <c r="L10">
        <v>165000</v>
      </c>
      <c r="M10">
        <v>10000</v>
      </c>
      <c r="N10">
        <v>79000</v>
      </c>
      <c r="P10" t="s">
        <v>1</v>
      </c>
    </row>
    <row r="11" spans="1:33" x14ac:dyDescent="0.35">
      <c r="B11" s="7" t="s">
        <v>60</v>
      </c>
      <c r="C11" t="s">
        <v>61</v>
      </c>
      <c r="D11">
        <v>8975</v>
      </c>
      <c r="E11">
        <v>11443</v>
      </c>
      <c r="F11">
        <v>13</v>
      </c>
      <c r="G11">
        <v>8000</v>
      </c>
      <c r="H11">
        <v>8000</v>
      </c>
      <c r="I11">
        <v>1.35</v>
      </c>
      <c r="J11">
        <v>1.5</v>
      </c>
      <c r="K11">
        <v>36</v>
      </c>
      <c r="L11">
        <v>160000</v>
      </c>
      <c r="M11">
        <v>10000</v>
      </c>
      <c r="N11">
        <v>69900</v>
      </c>
    </row>
    <row r="12" spans="1:33" x14ac:dyDescent="0.35">
      <c r="B12" s="3"/>
    </row>
    <row r="14" spans="1:33" x14ac:dyDescent="0.35">
      <c r="B14" t="s">
        <v>33</v>
      </c>
      <c r="C14" s="8" t="s">
        <v>34</v>
      </c>
      <c r="D14" t="s">
        <v>51</v>
      </c>
      <c r="E14" t="s">
        <v>54</v>
      </c>
      <c r="F14" t="s">
        <v>55</v>
      </c>
      <c r="G14" t="s">
        <v>56</v>
      </c>
      <c r="H14" t="s">
        <v>57</v>
      </c>
      <c r="I14" t="s">
        <v>64</v>
      </c>
      <c r="J14" t="s">
        <v>67</v>
      </c>
      <c r="K14" t="s">
        <v>68</v>
      </c>
      <c r="L14" t="s">
        <v>69</v>
      </c>
      <c r="M14" t="s">
        <v>70</v>
      </c>
      <c r="N14" t="s">
        <v>71</v>
      </c>
      <c r="O14" t="s">
        <v>56</v>
      </c>
      <c r="P14" t="s">
        <v>72</v>
      </c>
      <c r="Q14" t="s">
        <v>73</v>
      </c>
      <c r="R14" t="s">
        <v>74</v>
      </c>
      <c r="S14" t="s">
        <v>75</v>
      </c>
      <c r="T14" t="s">
        <v>76</v>
      </c>
      <c r="U14" t="s">
        <v>77</v>
      </c>
      <c r="V14" t="s">
        <v>78</v>
      </c>
      <c r="W14" t="s">
        <v>79</v>
      </c>
      <c r="X14" t="s">
        <v>80</v>
      </c>
      <c r="Y14" t="s">
        <v>81</v>
      </c>
      <c r="Z14" t="s">
        <v>82</v>
      </c>
      <c r="AA14" t="s">
        <v>83</v>
      </c>
      <c r="AC14" t="s">
        <v>81</v>
      </c>
      <c r="AD14" s="31" t="s">
        <v>84</v>
      </c>
      <c r="AE14" t="s">
        <v>85</v>
      </c>
      <c r="AF14" s="32" t="s">
        <v>86</v>
      </c>
      <c r="AG14" t="s">
        <v>87</v>
      </c>
    </row>
    <row r="15" spans="1:33" x14ac:dyDescent="0.35">
      <c r="A15" s="16"/>
      <c r="B15" s="17" t="s">
        <v>9</v>
      </c>
      <c r="C15" s="17">
        <v>79000</v>
      </c>
      <c r="D15" s="17">
        <v>79000</v>
      </c>
      <c r="E15" s="17">
        <v>79000</v>
      </c>
      <c r="F15" s="17">
        <v>79000</v>
      </c>
      <c r="G15" s="17">
        <v>81000</v>
      </c>
      <c r="H15" s="17">
        <v>81000</v>
      </c>
      <c r="I15" s="17">
        <v>79000</v>
      </c>
      <c r="J15" s="17">
        <v>82500</v>
      </c>
      <c r="K15" s="17">
        <v>80000</v>
      </c>
      <c r="L15" s="17">
        <v>79000</v>
      </c>
      <c r="M15" s="17">
        <v>79000</v>
      </c>
      <c r="N15" s="17">
        <v>82500</v>
      </c>
      <c r="O15" s="17">
        <v>82500</v>
      </c>
      <c r="P15" s="18">
        <v>79000</v>
      </c>
      <c r="Q15" s="20">
        <v>79000</v>
      </c>
      <c r="R15" s="20">
        <v>79000</v>
      </c>
      <c r="S15" s="20">
        <v>80000</v>
      </c>
      <c r="T15" s="20">
        <v>79000</v>
      </c>
      <c r="U15" s="20">
        <v>79000</v>
      </c>
      <c r="V15" s="20">
        <v>73000</v>
      </c>
      <c r="W15" s="20">
        <v>80000</v>
      </c>
      <c r="X15" s="20">
        <v>79000</v>
      </c>
      <c r="Y15" s="20">
        <v>79000</v>
      </c>
      <c r="Z15" s="20">
        <v>79000</v>
      </c>
      <c r="AA15" s="20">
        <v>78500</v>
      </c>
      <c r="AB15" s="20">
        <v>82500</v>
      </c>
      <c r="AC15" s="20">
        <v>79000</v>
      </c>
      <c r="AD15" s="20">
        <v>80000</v>
      </c>
      <c r="AE15" s="20">
        <v>75000</v>
      </c>
      <c r="AF15" s="20">
        <v>79000</v>
      </c>
      <c r="AG15" s="20">
        <v>79000</v>
      </c>
    </row>
    <row r="16" spans="1:33" x14ac:dyDescent="0.35">
      <c r="A16" s="19"/>
      <c r="B16" s="20" t="s">
        <v>35</v>
      </c>
      <c r="C16" s="20">
        <v>11.5</v>
      </c>
      <c r="D16" s="20">
        <v>12</v>
      </c>
      <c r="E16" s="20">
        <v>12.25</v>
      </c>
      <c r="F16" s="20">
        <v>11</v>
      </c>
      <c r="G16" s="20">
        <v>12</v>
      </c>
      <c r="H16" s="20">
        <v>12</v>
      </c>
      <c r="I16" s="20">
        <v>12</v>
      </c>
      <c r="J16" s="20">
        <v>12</v>
      </c>
      <c r="K16" s="20">
        <v>11</v>
      </c>
      <c r="L16" s="20">
        <v>12</v>
      </c>
      <c r="M16" s="20">
        <v>12</v>
      </c>
      <c r="N16" s="20">
        <v>12</v>
      </c>
      <c r="O16" s="20">
        <v>12</v>
      </c>
      <c r="P16" s="21">
        <v>12</v>
      </c>
      <c r="Q16" s="20">
        <v>12</v>
      </c>
      <c r="R16" s="20">
        <v>12</v>
      </c>
      <c r="S16" s="20">
        <v>12</v>
      </c>
      <c r="T16" s="20">
        <v>12</v>
      </c>
      <c r="U16" s="20">
        <v>11.5</v>
      </c>
      <c r="V16" s="20">
        <v>12</v>
      </c>
      <c r="W16" s="20">
        <v>12</v>
      </c>
      <c r="X16" s="20">
        <v>11.5</v>
      </c>
      <c r="Y16" s="20">
        <v>12</v>
      </c>
      <c r="Z16" s="20">
        <v>12.5</v>
      </c>
      <c r="AA16" s="20">
        <v>11</v>
      </c>
      <c r="AB16" s="20">
        <v>13</v>
      </c>
      <c r="AC16" s="20">
        <v>12</v>
      </c>
      <c r="AD16" s="20">
        <v>12</v>
      </c>
      <c r="AE16" s="20">
        <v>12</v>
      </c>
      <c r="AF16" s="20">
        <v>11.5</v>
      </c>
      <c r="AG16" s="20">
        <v>12</v>
      </c>
    </row>
    <row r="17" spans="1:33" x14ac:dyDescent="0.35">
      <c r="A17" s="19"/>
      <c r="B17" s="20" t="s">
        <v>36</v>
      </c>
      <c r="C17" s="20">
        <v>12.5</v>
      </c>
      <c r="D17" s="20">
        <v>12</v>
      </c>
      <c r="E17" s="20">
        <v>13.25</v>
      </c>
      <c r="F17" s="20">
        <v>12</v>
      </c>
      <c r="G17" s="20">
        <v>12.5</v>
      </c>
      <c r="H17" s="20">
        <v>13</v>
      </c>
      <c r="I17" s="20">
        <v>12</v>
      </c>
      <c r="J17" s="20">
        <v>13</v>
      </c>
      <c r="K17" s="20">
        <v>12</v>
      </c>
      <c r="L17" s="20">
        <v>12</v>
      </c>
      <c r="M17" s="20">
        <v>12.5</v>
      </c>
      <c r="N17" s="20">
        <v>13</v>
      </c>
      <c r="O17" s="20">
        <v>12.5</v>
      </c>
      <c r="P17" s="21">
        <v>12.5</v>
      </c>
      <c r="Q17" s="20">
        <v>13</v>
      </c>
      <c r="R17" s="20">
        <v>12</v>
      </c>
      <c r="S17" s="20">
        <v>12.5</v>
      </c>
      <c r="T17" s="20">
        <v>12.5</v>
      </c>
      <c r="U17" s="20">
        <v>12.75</v>
      </c>
      <c r="V17" s="20">
        <v>12</v>
      </c>
      <c r="W17" s="20">
        <v>13</v>
      </c>
      <c r="X17" s="20">
        <v>12.5</v>
      </c>
      <c r="Y17" s="20">
        <v>13</v>
      </c>
      <c r="Z17" s="20">
        <v>13.5</v>
      </c>
      <c r="AA17" s="20">
        <v>12</v>
      </c>
      <c r="AB17" s="20">
        <v>13</v>
      </c>
      <c r="AC17" s="20">
        <v>12</v>
      </c>
      <c r="AD17" s="20">
        <v>12.5</v>
      </c>
      <c r="AE17" s="20">
        <v>12.7</v>
      </c>
      <c r="AF17" s="20">
        <v>12.5</v>
      </c>
      <c r="AG17" s="20">
        <v>12</v>
      </c>
    </row>
    <row r="18" spans="1:33" x14ac:dyDescent="0.35">
      <c r="A18" s="19"/>
      <c r="B18" s="20" t="s">
        <v>37</v>
      </c>
      <c r="C18" s="20">
        <v>22</v>
      </c>
      <c r="D18" s="20">
        <v>22</v>
      </c>
      <c r="E18" s="20">
        <v>22.8</v>
      </c>
      <c r="F18" s="20">
        <v>18</v>
      </c>
      <c r="G18" s="20">
        <v>21.5</v>
      </c>
      <c r="H18" s="20">
        <v>22.5</v>
      </c>
      <c r="I18" s="20">
        <v>22</v>
      </c>
      <c r="J18" s="20">
        <v>22.5</v>
      </c>
      <c r="K18" s="20">
        <v>17.2</v>
      </c>
      <c r="L18" s="20">
        <v>21.4</v>
      </c>
      <c r="M18" s="20">
        <v>25.5</v>
      </c>
      <c r="N18" s="20">
        <v>22.5</v>
      </c>
      <c r="O18" s="20">
        <v>21.5</v>
      </c>
      <c r="P18" s="21">
        <v>24</v>
      </c>
      <c r="Q18" s="20">
        <v>24</v>
      </c>
      <c r="R18" s="20">
        <v>24.5</v>
      </c>
      <c r="S18" s="20">
        <v>20.5</v>
      </c>
      <c r="T18" s="20">
        <v>24</v>
      </c>
      <c r="U18" s="20">
        <v>25</v>
      </c>
      <c r="V18" s="20">
        <v>23.5</v>
      </c>
      <c r="W18" s="20">
        <v>19.5</v>
      </c>
      <c r="X18" s="20">
        <v>26</v>
      </c>
      <c r="Y18" s="20">
        <v>20</v>
      </c>
      <c r="Z18" s="20">
        <v>28.5</v>
      </c>
      <c r="AA18" s="20">
        <v>23</v>
      </c>
      <c r="AB18" s="20">
        <v>26</v>
      </c>
      <c r="AC18" s="20">
        <v>20</v>
      </c>
      <c r="AD18" s="20">
        <v>25.5</v>
      </c>
      <c r="AE18" s="20">
        <v>22.2</v>
      </c>
      <c r="AF18" s="20">
        <v>20.5</v>
      </c>
      <c r="AG18" s="20">
        <v>22</v>
      </c>
    </row>
    <row r="19" spans="1:33" x14ac:dyDescent="0.35">
      <c r="A19" s="19"/>
      <c r="B19" s="20" t="s">
        <v>38</v>
      </c>
      <c r="C19" s="20">
        <v>23</v>
      </c>
      <c r="D19" s="20">
        <v>18.5</v>
      </c>
      <c r="E19" s="20">
        <v>22.8</v>
      </c>
      <c r="F19" s="20">
        <v>16.5</v>
      </c>
      <c r="G19" s="20">
        <v>20</v>
      </c>
      <c r="H19" s="20">
        <v>20.5</v>
      </c>
      <c r="I19" s="20">
        <v>16.5</v>
      </c>
      <c r="J19" s="20">
        <v>20.5</v>
      </c>
      <c r="K19" s="20">
        <v>15.7</v>
      </c>
      <c r="L19" s="20">
        <v>18.2</v>
      </c>
      <c r="M19" s="20">
        <v>23</v>
      </c>
      <c r="N19" s="20">
        <v>20.5</v>
      </c>
      <c r="O19" s="20">
        <v>20</v>
      </c>
      <c r="P19" s="21">
        <v>18</v>
      </c>
      <c r="Q19" s="20">
        <v>22</v>
      </c>
      <c r="R19" s="20">
        <v>21.5</v>
      </c>
      <c r="S19" s="20">
        <v>17.5</v>
      </c>
      <c r="T19" s="20">
        <v>23</v>
      </c>
      <c r="U19" s="20">
        <v>25</v>
      </c>
      <c r="V19" s="20">
        <v>19.5</v>
      </c>
      <c r="W19" s="20">
        <v>19.5</v>
      </c>
      <c r="X19" s="20">
        <v>26</v>
      </c>
      <c r="Y19" s="20">
        <v>20</v>
      </c>
      <c r="Z19" s="20">
        <v>27.5</v>
      </c>
      <c r="AA19" s="20">
        <v>23</v>
      </c>
      <c r="AB19" s="20">
        <v>22.5</v>
      </c>
      <c r="AC19" s="20">
        <v>17</v>
      </c>
      <c r="AD19" s="20">
        <v>25</v>
      </c>
      <c r="AE19" s="20">
        <v>22</v>
      </c>
      <c r="AF19" s="20">
        <v>20.5</v>
      </c>
      <c r="AG19" s="20">
        <v>16.5</v>
      </c>
    </row>
    <row r="20" spans="1:33" x14ac:dyDescent="0.35">
      <c r="A20" s="22"/>
      <c r="B20" s="23" t="s">
        <v>39</v>
      </c>
      <c r="C20" s="23">
        <v>4.5</v>
      </c>
      <c r="D20" s="23">
        <v>5</v>
      </c>
      <c r="E20" s="23">
        <v>5.6</v>
      </c>
      <c r="F20" s="23">
        <v>4</v>
      </c>
      <c r="G20" s="23">
        <v>5.5</v>
      </c>
      <c r="H20" s="23">
        <v>4.5</v>
      </c>
      <c r="I20" s="23">
        <v>4.2</v>
      </c>
      <c r="J20" s="23">
        <v>5.5</v>
      </c>
      <c r="K20" s="23">
        <v>4.7</v>
      </c>
      <c r="L20" s="23">
        <v>4</v>
      </c>
      <c r="M20" s="23">
        <v>5</v>
      </c>
      <c r="N20" s="23">
        <v>5</v>
      </c>
      <c r="O20" s="23">
        <v>5</v>
      </c>
      <c r="P20" s="24">
        <v>4</v>
      </c>
      <c r="Q20" s="20">
        <v>4.3</v>
      </c>
      <c r="R20" s="20">
        <v>4.5</v>
      </c>
      <c r="S20" s="20">
        <v>3.5</v>
      </c>
      <c r="T20" s="20">
        <v>4</v>
      </c>
      <c r="U20" s="20">
        <v>4</v>
      </c>
      <c r="V20" s="20">
        <v>3.5</v>
      </c>
      <c r="W20" s="20">
        <v>4</v>
      </c>
      <c r="X20" s="20">
        <v>4.5</v>
      </c>
      <c r="Y20" s="20">
        <v>3</v>
      </c>
      <c r="Z20" s="20">
        <v>5</v>
      </c>
      <c r="AA20" s="20">
        <v>4.5</v>
      </c>
      <c r="AB20" s="20">
        <v>6</v>
      </c>
      <c r="AC20" s="20">
        <v>5</v>
      </c>
      <c r="AD20" s="20">
        <v>3.5</v>
      </c>
      <c r="AE20">
        <v>4.5</v>
      </c>
      <c r="AF20" s="20">
        <v>3.7</v>
      </c>
      <c r="AG20" s="20">
        <v>5.5</v>
      </c>
    </row>
    <row r="21" spans="1:33" x14ac:dyDescent="0.35">
      <c r="A21" t="s">
        <v>58</v>
      </c>
      <c r="B21" t="s">
        <v>41</v>
      </c>
      <c r="C21" s="12">
        <f t="shared" ref="C21:Q21" si="0">$E$10/C16/24*$C$5</f>
        <v>15.596413043478263</v>
      </c>
      <c r="D21" s="13">
        <f t="shared" si="0"/>
        <v>14.946562500000001</v>
      </c>
      <c r="E21" s="13">
        <f t="shared" si="0"/>
        <v>14.6415306122449</v>
      </c>
      <c r="F21" s="13">
        <f t="shared" si="0"/>
        <v>16.305340909090912</v>
      </c>
      <c r="G21" s="13">
        <f t="shared" si="0"/>
        <v>14.946562500000001</v>
      </c>
      <c r="H21" s="13">
        <f t="shared" si="0"/>
        <v>14.946562500000001</v>
      </c>
      <c r="I21" s="13">
        <f t="shared" si="0"/>
        <v>14.946562500000001</v>
      </c>
      <c r="J21" s="13">
        <f t="shared" si="0"/>
        <v>14.946562500000001</v>
      </c>
      <c r="K21" s="13">
        <f t="shared" si="0"/>
        <v>16.305340909090912</v>
      </c>
      <c r="L21" s="13">
        <f t="shared" si="0"/>
        <v>14.946562500000001</v>
      </c>
      <c r="M21" s="13">
        <f t="shared" si="0"/>
        <v>14.946562500000001</v>
      </c>
      <c r="N21" s="13">
        <f t="shared" si="0"/>
        <v>14.946562500000001</v>
      </c>
      <c r="O21" s="13">
        <f t="shared" si="0"/>
        <v>14.946562500000001</v>
      </c>
      <c r="P21" s="13">
        <f t="shared" si="0"/>
        <v>14.946562500000001</v>
      </c>
      <c r="Q21" s="13">
        <f t="shared" si="0"/>
        <v>14.946562500000001</v>
      </c>
      <c r="R21" s="13">
        <f t="shared" ref="R21:AE21" si="1">$E$10/R16/24*$C$5</f>
        <v>14.946562500000001</v>
      </c>
      <c r="S21" s="13">
        <f t="shared" si="1"/>
        <v>14.946562500000001</v>
      </c>
      <c r="T21" s="13">
        <f t="shared" si="1"/>
        <v>14.946562500000001</v>
      </c>
      <c r="U21" s="13">
        <f t="shared" si="1"/>
        <v>15.596413043478263</v>
      </c>
      <c r="V21" s="13">
        <f t="shared" si="1"/>
        <v>14.946562500000001</v>
      </c>
      <c r="W21" s="13">
        <f t="shared" si="1"/>
        <v>14.946562500000001</v>
      </c>
      <c r="X21" s="13">
        <f t="shared" si="1"/>
        <v>15.596413043478263</v>
      </c>
      <c r="Y21" s="13">
        <f t="shared" si="1"/>
        <v>14.946562500000001</v>
      </c>
      <c r="Z21" s="13">
        <f t="shared" si="1"/>
        <v>14.348699999999999</v>
      </c>
      <c r="AA21" s="13">
        <f t="shared" si="1"/>
        <v>16.305340909090912</v>
      </c>
      <c r="AB21" s="13">
        <f t="shared" si="1"/>
        <v>13.796826923076923</v>
      </c>
      <c r="AC21" s="13">
        <f t="shared" si="1"/>
        <v>14.946562500000001</v>
      </c>
      <c r="AD21" s="13">
        <f t="shared" si="1"/>
        <v>14.946562500000001</v>
      </c>
      <c r="AE21" s="13">
        <f t="shared" si="1"/>
        <v>14.946562500000001</v>
      </c>
      <c r="AF21" s="13">
        <f t="shared" ref="AF21:AG21" si="2">$E$10/AF16/24*$C$5</f>
        <v>15.596413043478263</v>
      </c>
      <c r="AG21" s="13">
        <f t="shared" si="2"/>
        <v>14.946562500000001</v>
      </c>
    </row>
    <row r="22" spans="1:33" x14ac:dyDescent="0.35">
      <c r="B22" t="s">
        <v>40</v>
      </c>
      <c r="C22" s="12">
        <f t="shared" ref="C22:Q22" si="3">$D$10/C17/24*$C$5</f>
        <v>13.317933333333334</v>
      </c>
      <c r="D22" s="13">
        <f t="shared" si="3"/>
        <v>13.872847222222223</v>
      </c>
      <c r="E22" s="13">
        <f t="shared" si="3"/>
        <v>12.564088050314467</v>
      </c>
      <c r="F22" s="13">
        <f t="shared" si="3"/>
        <v>13.872847222222223</v>
      </c>
      <c r="G22" s="13">
        <f t="shared" si="3"/>
        <v>13.317933333333334</v>
      </c>
      <c r="H22" s="13">
        <f t="shared" si="3"/>
        <v>12.805705128205128</v>
      </c>
      <c r="I22" s="13">
        <f t="shared" si="3"/>
        <v>13.872847222222223</v>
      </c>
      <c r="J22" s="13">
        <f t="shared" si="3"/>
        <v>12.805705128205128</v>
      </c>
      <c r="K22" s="13">
        <f t="shared" si="3"/>
        <v>13.872847222222223</v>
      </c>
      <c r="L22" s="13">
        <f t="shared" si="3"/>
        <v>13.872847222222223</v>
      </c>
      <c r="M22" s="13">
        <f t="shared" si="3"/>
        <v>13.317933333333334</v>
      </c>
      <c r="N22" s="13">
        <f t="shared" si="3"/>
        <v>12.805705128205128</v>
      </c>
      <c r="O22" s="13">
        <f t="shared" si="3"/>
        <v>13.317933333333334</v>
      </c>
      <c r="P22" s="13">
        <f t="shared" si="3"/>
        <v>13.317933333333334</v>
      </c>
      <c r="Q22" s="13">
        <f t="shared" si="3"/>
        <v>12.805705128205128</v>
      </c>
      <c r="R22" s="13">
        <f t="shared" ref="R22:AE22" si="4">$D$10/R17/24*$C$5</f>
        <v>13.872847222222223</v>
      </c>
      <c r="S22" s="13">
        <f t="shared" si="4"/>
        <v>13.317933333333334</v>
      </c>
      <c r="T22" s="13">
        <f t="shared" si="4"/>
        <v>13.317933333333334</v>
      </c>
      <c r="U22" s="13">
        <f t="shared" si="4"/>
        <v>13.056797385620916</v>
      </c>
      <c r="V22" s="13">
        <f t="shared" si="4"/>
        <v>13.872847222222223</v>
      </c>
      <c r="W22" s="13">
        <f t="shared" si="4"/>
        <v>12.805705128205128</v>
      </c>
      <c r="X22" s="13">
        <f t="shared" si="4"/>
        <v>13.317933333333334</v>
      </c>
      <c r="Y22" s="13">
        <f t="shared" si="4"/>
        <v>12.805705128205128</v>
      </c>
      <c r="Z22" s="13">
        <f t="shared" si="4"/>
        <v>12.33141975308642</v>
      </c>
      <c r="AA22" s="13">
        <f t="shared" si="4"/>
        <v>13.872847222222223</v>
      </c>
      <c r="AB22" s="13">
        <f t="shared" si="4"/>
        <v>12.805705128205128</v>
      </c>
      <c r="AC22" s="13">
        <f t="shared" si="4"/>
        <v>13.872847222222223</v>
      </c>
      <c r="AD22" s="13">
        <f t="shared" si="4"/>
        <v>13.317933333333334</v>
      </c>
      <c r="AE22" s="13">
        <f t="shared" si="4"/>
        <v>13.108202099737534</v>
      </c>
      <c r="AF22" s="13">
        <f t="shared" ref="AF22:AG22" si="5">$D$10/AF17/24*$C$5</f>
        <v>13.317933333333334</v>
      </c>
      <c r="AG22" s="13">
        <f t="shared" si="5"/>
        <v>13.872847222222223</v>
      </c>
    </row>
    <row r="23" spans="1:33" x14ac:dyDescent="0.35">
      <c r="B23" t="s">
        <v>42</v>
      </c>
      <c r="C23" s="12">
        <f t="shared" ref="C23:Q23" si="6">C15/$G$10+C15/$H$10+$K$10/24</f>
        <v>13.632142857142856</v>
      </c>
      <c r="D23" s="13">
        <f t="shared" si="6"/>
        <v>13.632142857142856</v>
      </c>
      <c r="E23" s="13">
        <f t="shared" si="6"/>
        <v>13.632142857142856</v>
      </c>
      <c r="F23" s="13">
        <f t="shared" si="6"/>
        <v>13.632142857142856</v>
      </c>
      <c r="G23" s="13">
        <f t="shared" si="6"/>
        <v>13.939285714285715</v>
      </c>
      <c r="H23" s="13">
        <f t="shared" si="6"/>
        <v>13.939285714285715</v>
      </c>
      <c r="I23" s="13">
        <f t="shared" si="6"/>
        <v>13.632142857142856</v>
      </c>
      <c r="J23" s="13">
        <f t="shared" si="6"/>
        <v>14.169642857142858</v>
      </c>
      <c r="K23" s="13">
        <f t="shared" si="6"/>
        <v>13.785714285714285</v>
      </c>
      <c r="L23" s="13">
        <f t="shared" si="6"/>
        <v>13.632142857142856</v>
      </c>
      <c r="M23" s="13">
        <f t="shared" si="6"/>
        <v>13.632142857142856</v>
      </c>
      <c r="N23" s="13">
        <f t="shared" si="6"/>
        <v>14.169642857142858</v>
      </c>
      <c r="O23" s="13">
        <f t="shared" si="6"/>
        <v>14.169642857142858</v>
      </c>
      <c r="P23" s="13">
        <f t="shared" si="6"/>
        <v>13.632142857142856</v>
      </c>
      <c r="Q23" s="13">
        <f t="shared" si="6"/>
        <v>13.632142857142856</v>
      </c>
      <c r="R23" s="13">
        <f t="shared" ref="R23:AE23" si="7">R15/$G$10+R15/$H$10+$K$10/24</f>
        <v>13.632142857142856</v>
      </c>
      <c r="S23" s="13">
        <f t="shared" si="7"/>
        <v>13.785714285714285</v>
      </c>
      <c r="T23" s="13">
        <f t="shared" si="7"/>
        <v>13.632142857142856</v>
      </c>
      <c r="U23" s="13">
        <f t="shared" si="7"/>
        <v>13.632142857142856</v>
      </c>
      <c r="V23" s="13">
        <f t="shared" si="7"/>
        <v>12.710714285714285</v>
      </c>
      <c r="W23" s="13">
        <f t="shared" si="7"/>
        <v>13.785714285714285</v>
      </c>
      <c r="X23" s="13">
        <f t="shared" si="7"/>
        <v>13.632142857142856</v>
      </c>
      <c r="Y23" s="13">
        <f t="shared" si="7"/>
        <v>13.632142857142856</v>
      </c>
      <c r="Z23" s="13">
        <f t="shared" si="7"/>
        <v>13.632142857142856</v>
      </c>
      <c r="AA23" s="13">
        <f t="shared" si="7"/>
        <v>13.555357142857144</v>
      </c>
      <c r="AB23" s="13">
        <f t="shared" si="7"/>
        <v>14.169642857142858</v>
      </c>
      <c r="AC23" s="13">
        <f t="shared" si="7"/>
        <v>13.632142857142856</v>
      </c>
      <c r="AD23" s="13">
        <f t="shared" si="7"/>
        <v>13.785714285714285</v>
      </c>
      <c r="AE23" s="13">
        <f t="shared" si="7"/>
        <v>13.017857142857142</v>
      </c>
      <c r="AF23" s="13">
        <f t="shared" ref="AF23:AG23" si="8">AF15/$G$10+AF15/$H$10+$K$10/24</f>
        <v>13.632142857142856</v>
      </c>
      <c r="AG23" s="13">
        <f t="shared" si="8"/>
        <v>13.632142857142856</v>
      </c>
    </row>
    <row r="24" spans="1:33" x14ac:dyDescent="0.35">
      <c r="B24" t="s">
        <v>66</v>
      </c>
      <c r="C24" s="12">
        <f>SUM(C21:C23)</f>
        <v>42.546489233954453</v>
      </c>
      <c r="D24" s="12">
        <f t="shared" ref="D24:Q24" si="9">SUM(D21:D23)</f>
        <v>42.451552579365085</v>
      </c>
      <c r="E24" s="12">
        <f t="shared" si="9"/>
        <v>40.837761519702227</v>
      </c>
      <c r="F24" s="12">
        <f t="shared" si="9"/>
        <v>43.810330988455988</v>
      </c>
      <c r="G24" s="12">
        <f t="shared" si="9"/>
        <v>42.203781547619052</v>
      </c>
      <c r="H24" s="12">
        <f t="shared" si="9"/>
        <v>41.691553342490842</v>
      </c>
      <c r="I24" s="12">
        <f t="shared" si="9"/>
        <v>42.451552579365085</v>
      </c>
      <c r="J24" s="12">
        <f t="shared" si="9"/>
        <v>41.921910485347986</v>
      </c>
      <c r="K24" s="12">
        <f t="shared" si="9"/>
        <v>43.96390241702742</v>
      </c>
      <c r="L24" s="12">
        <f t="shared" si="9"/>
        <v>42.451552579365085</v>
      </c>
      <c r="M24" s="12">
        <f t="shared" si="9"/>
        <v>41.896638690476195</v>
      </c>
      <c r="N24" s="12">
        <f t="shared" si="9"/>
        <v>41.921910485347986</v>
      </c>
      <c r="O24" s="12">
        <f t="shared" si="9"/>
        <v>42.434138690476189</v>
      </c>
      <c r="P24" s="12">
        <f t="shared" si="9"/>
        <v>41.896638690476195</v>
      </c>
      <c r="Q24" s="12">
        <f t="shared" si="9"/>
        <v>41.384410485347985</v>
      </c>
      <c r="R24" s="12">
        <f t="shared" ref="R24:AG24" si="10">SUM(R21:R23)</f>
        <v>42.451552579365085</v>
      </c>
      <c r="S24" s="12">
        <f t="shared" si="10"/>
        <v>42.05021011904762</v>
      </c>
      <c r="T24" s="12">
        <f t="shared" si="10"/>
        <v>41.896638690476195</v>
      </c>
      <c r="U24" s="12">
        <f t="shared" si="10"/>
        <v>42.285353286242035</v>
      </c>
      <c r="V24" s="12">
        <f t="shared" si="10"/>
        <v>41.530124007936507</v>
      </c>
      <c r="W24" s="12">
        <f t="shared" si="10"/>
        <v>41.53798191391941</v>
      </c>
      <c r="X24" s="12">
        <f t="shared" si="10"/>
        <v>42.546489233954453</v>
      </c>
      <c r="Y24" s="12">
        <f t="shared" si="10"/>
        <v>41.384410485347985</v>
      </c>
      <c r="Z24" s="12">
        <f t="shared" si="10"/>
        <v>40.312262610229276</v>
      </c>
      <c r="AA24" s="12">
        <f t="shared" si="10"/>
        <v>43.733545274170282</v>
      </c>
      <c r="AB24" s="12">
        <f t="shared" si="10"/>
        <v>40.772174908424908</v>
      </c>
      <c r="AC24" s="12">
        <f t="shared" si="10"/>
        <v>42.451552579365085</v>
      </c>
      <c r="AD24" s="12">
        <f t="shared" si="10"/>
        <v>42.05021011904762</v>
      </c>
      <c r="AE24" s="12">
        <f t="shared" si="10"/>
        <v>41.072621742594677</v>
      </c>
      <c r="AF24" s="12">
        <f t="shared" si="10"/>
        <v>42.546489233954453</v>
      </c>
      <c r="AG24" s="12">
        <f t="shared" si="10"/>
        <v>42.451552579365085</v>
      </c>
    </row>
    <row r="25" spans="1:33" s="4" customFormat="1" x14ac:dyDescent="0.35">
      <c r="B25" s="4" t="s">
        <v>43</v>
      </c>
      <c r="C25" s="9">
        <f t="shared" ref="C25:Q25" si="11">SUM(C21:C23)*$C$2*0.9625</f>
        <v>819019.91775362322</v>
      </c>
      <c r="D25" s="4">
        <f t="shared" si="11"/>
        <v>817192.38715277787</v>
      </c>
      <c r="E25" s="4">
        <f t="shared" si="11"/>
        <v>786126.90925426793</v>
      </c>
      <c r="F25" s="4">
        <f t="shared" si="11"/>
        <v>843348.87152777775</v>
      </c>
      <c r="G25" s="4">
        <f t="shared" si="11"/>
        <v>812422.79479166679</v>
      </c>
      <c r="H25" s="4">
        <f t="shared" si="11"/>
        <v>802562.40184294875</v>
      </c>
      <c r="I25" s="4">
        <f t="shared" si="11"/>
        <v>817192.38715277787</v>
      </c>
      <c r="J25" s="4">
        <f t="shared" si="11"/>
        <v>806996.77684294886</v>
      </c>
      <c r="K25" s="4">
        <f t="shared" si="11"/>
        <v>846305.12152777787</v>
      </c>
      <c r="L25" s="4">
        <f t="shared" si="11"/>
        <v>817192.38715277787</v>
      </c>
      <c r="M25" s="4">
        <f t="shared" si="11"/>
        <v>806510.29479166679</v>
      </c>
      <c r="N25" s="4">
        <f t="shared" si="11"/>
        <v>806996.77684294886</v>
      </c>
      <c r="O25" s="4">
        <f t="shared" si="11"/>
        <v>816857.16979166667</v>
      </c>
      <c r="P25" s="4">
        <f t="shared" si="11"/>
        <v>806510.29479166679</v>
      </c>
      <c r="Q25" s="4">
        <f t="shared" si="11"/>
        <v>796649.90184294875</v>
      </c>
      <c r="R25" s="4">
        <f t="shared" ref="R25:AE25" si="12">SUM(R21:R23)*$C$2*0.9625</f>
        <v>817192.38715277787</v>
      </c>
      <c r="S25" s="4">
        <f t="shared" si="12"/>
        <v>809466.54479166667</v>
      </c>
      <c r="T25" s="4">
        <f t="shared" si="12"/>
        <v>806510.29479166679</v>
      </c>
      <c r="U25" s="4">
        <f t="shared" si="12"/>
        <v>813993.05076015927</v>
      </c>
      <c r="V25" s="4">
        <f t="shared" si="12"/>
        <v>799454.88715277787</v>
      </c>
      <c r="W25" s="4">
        <f t="shared" si="12"/>
        <v>799606.15184294863</v>
      </c>
      <c r="X25" s="4">
        <f t="shared" si="12"/>
        <v>819019.91775362322</v>
      </c>
      <c r="Y25" s="4">
        <f t="shared" si="12"/>
        <v>796649.90184294875</v>
      </c>
      <c r="Z25" s="4">
        <f t="shared" si="12"/>
        <v>776011.05524691357</v>
      </c>
      <c r="AA25" s="4">
        <f t="shared" si="12"/>
        <v>841870.74652777798</v>
      </c>
      <c r="AB25" s="4">
        <f t="shared" si="12"/>
        <v>784864.3669871795</v>
      </c>
      <c r="AC25" s="4">
        <f t="shared" si="12"/>
        <v>817192.38715277787</v>
      </c>
      <c r="AD25" s="4">
        <f t="shared" si="12"/>
        <v>809466.54479166667</v>
      </c>
      <c r="AE25" s="4">
        <f t="shared" si="12"/>
        <v>790647.96854494757</v>
      </c>
      <c r="AF25" s="4">
        <f t="shared" ref="AF25:AG25" si="13">SUM(AF21:AF23)*$C$2*0.9625</f>
        <v>819019.91775362322</v>
      </c>
      <c r="AG25" s="4">
        <f t="shared" si="13"/>
        <v>817192.38715277787</v>
      </c>
    </row>
    <row r="26" spans="1:33" x14ac:dyDescent="0.35">
      <c r="B26" t="s">
        <v>52</v>
      </c>
      <c r="C26" s="12">
        <f t="shared" ref="C26:Q26" si="14">(C21*C18+C22*C19+C23*C20)</f>
        <v>710.7781964803313</v>
      </c>
      <c r="D26" s="13">
        <f t="shared" si="14"/>
        <v>653.6327628968254</v>
      </c>
      <c r="E26" s="13">
        <f t="shared" si="14"/>
        <v>696.62810550635356</v>
      </c>
      <c r="F26" s="13">
        <f t="shared" si="14"/>
        <v>576.9266869588746</v>
      </c>
      <c r="G26" s="13">
        <f t="shared" si="14"/>
        <v>664.37583184523817</v>
      </c>
      <c r="H26" s="13">
        <f t="shared" si="14"/>
        <v>661.5413970924908</v>
      </c>
      <c r="I26" s="13">
        <f t="shared" si="14"/>
        <v>614.98135416666673</v>
      </c>
      <c r="J26" s="13">
        <f t="shared" si="14"/>
        <v>676.74764709249075</v>
      </c>
      <c r="K26" s="13">
        <f t="shared" si="14"/>
        <v>563.04842216810971</v>
      </c>
      <c r="L26" s="13">
        <f t="shared" si="14"/>
        <v>626.87082837301591</v>
      </c>
      <c r="M26" s="13">
        <f t="shared" si="14"/>
        <v>755.61052470238087</v>
      </c>
      <c r="N26" s="13">
        <f t="shared" si="14"/>
        <v>669.66282566391942</v>
      </c>
      <c r="O26" s="13">
        <f t="shared" si="14"/>
        <v>658.5579747023811</v>
      </c>
      <c r="P26" s="13">
        <f t="shared" si="14"/>
        <v>652.96887142857145</v>
      </c>
      <c r="Q26" s="13">
        <f t="shared" si="14"/>
        <v>699.06122710622719</v>
      </c>
      <c r="R26" s="13">
        <f t="shared" ref="R26:AE26" si="15">(R21*R18+R22*R19+R23*R20)</f>
        <v>725.80163938492069</v>
      </c>
      <c r="S26" s="13">
        <f t="shared" si="15"/>
        <v>587.71836458333337</v>
      </c>
      <c r="T26" s="13">
        <f t="shared" si="15"/>
        <v>719.55853809523819</v>
      </c>
      <c r="U26" s="13">
        <f t="shared" si="15"/>
        <v>770.85883215605099</v>
      </c>
      <c r="V26" s="13">
        <f t="shared" si="15"/>
        <v>666.25223958333333</v>
      </c>
      <c r="W26" s="13">
        <f t="shared" si="15"/>
        <v>596.31207589285714</v>
      </c>
      <c r="X26" s="13">
        <f t="shared" si="15"/>
        <v>813.11764865424436</v>
      </c>
      <c r="Y26" s="13">
        <f t="shared" si="15"/>
        <v>595.94178113553119</v>
      </c>
      <c r="Z26" s="13">
        <f t="shared" si="15"/>
        <v>816.21270749559085</v>
      </c>
      <c r="AA26" s="13">
        <f t="shared" si="15"/>
        <v>755.09743416305923</v>
      </c>
      <c r="AB26" s="13">
        <f t="shared" si="15"/>
        <v>731.86372252747242</v>
      </c>
      <c r="AC26" s="13">
        <f t="shared" si="15"/>
        <v>602.93036706349199</v>
      </c>
      <c r="AD26" s="13">
        <f t="shared" si="15"/>
        <v>762.33567708333339</v>
      </c>
      <c r="AE26" s="13">
        <f t="shared" si="15"/>
        <v>678.77449083708279</v>
      </c>
      <c r="AF26" s="13">
        <f t="shared" ref="AF26:AG26" si="16">(AF21*AF18+AF22*AF19+AF23*AF20)</f>
        <v>643.18302929606637</v>
      </c>
      <c r="AG26" s="13">
        <f t="shared" si="16"/>
        <v>632.70313988095245</v>
      </c>
    </row>
    <row r="27" spans="1:33" x14ac:dyDescent="0.35">
      <c r="B27" t="s">
        <v>47</v>
      </c>
      <c r="C27" s="9">
        <f t="shared" ref="C27:Z27" si="17">C26*$C$3</f>
        <v>554406.99325465842</v>
      </c>
      <c r="D27" s="4">
        <f t="shared" si="17"/>
        <v>509833.55505952379</v>
      </c>
      <c r="E27" s="4">
        <f t="shared" si="17"/>
        <v>543369.92229495582</v>
      </c>
      <c r="F27" s="4">
        <f t="shared" si="17"/>
        <v>450002.8158279222</v>
      </c>
      <c r="G27" s="4">
        <f t="shared" si="17"/>
        <v>518213.14883928577</v>
      </c>
      <c r="H27" s="4">
        <f t="shared" si="17"/>
        <v>516002.28973214282</v>
      </c>
      <c r="I27" s="4">
        <f t="shared" si="17"/>
        <v>479685.45625000005</v>
      </c>
      <c r="J27" s="4">
        <f t="shared" si="17"/>
        <v>527863.16473214282</v>
      </c>
      <c r="K27" s="4">
        <f t="shared" si="17"/>
        <v>439177.76929112559</v>
      </c>
      <c r="L27" s="4">
        <f t="shared" si="17"/>
        <v>488959.24613095244</v>
      </c>
      <c r="M27" s="4">
        <f t="shared" si="17"/>
        <v>589376.20926785714</v>
      </c>
      <c r="N27" s="4">
        <f t="shared" si="17"/>
        <v>522337.00401785714</v>
      </c>
      <c r="O27" s="4">
        <f t="shared" si="17"/>
        <v>513675.22026785725</v>
      </c>
      <c r="P27" s="4">
        <f t="shared" si="17"/>
        <v>509315.71971428575</v>
      </c>
      <c r="Q27" s="4">
        <f t="shared" si="17"/>
        <v>545267.75714285718</v>
      </c>
      <c r="R27" s="4">
        <f t="shared" si="17"/>
        <v>566125.27872023813</v>
      </c>
      <c r="S27" s="4">
        <f t="shared" si="17"/>
        <v>458420.32437500003</v>
      </c>
      <c r="T27" s="4">
        <f t="shared" si="17"/>
        <v>561255.65971428575</v>
      </c>
      <c r="U27" s="4">
        <f t="shared" si="17"/>
        <v>601269.8890817198</v>
      </c>
      <c r="V27" s="4">
        <f t="shared" si="17"/>
        <v>519676.74687500001</v>
      </c>
      <c r="W27" s="4">
        <f t="shared" si="17"/>
        <v>465123.41919642856</v>
      </c>
      <c r="X27" s="4">
        <f t="shared" si="17"/>
        <v>634231.76595031063</v>
      </c>
      <c r="Y27" s="4">
        <f t="shared" si="17"/>
        <v>464834.58928571432</v>
      </c>
      <c r="Z27" s="4">
        <f t="shared" si="17"/>
        <v>636645.91184656089</v>
      </c>
      <c r="AA27" s="4">
        <f>AA26*$C$3</f>
        <v>588975.99864718621</v>
      </c>
      <c r="AB27" s="4">
        <f>AB26*$C$3</f>
        <v>570853.70357142854</v>
      </c>
      <c r="AC27" s="4">
        <f>AC26*$C$3</f>
        <v>470285.68630952376</v>
      </c>
      <c r="AD27" s="4">
        <f>AD26*$C$3</f>
        <v>594621.828125</v>
      </c>
      <c r="AE27" s="4">
        <f>AE26*$C$3</f>
        <v>529444.10285292461</v>
      </c>
      <c r="AF27" s="4">
        <f>AF26*$C$3</f>
        <v>501682.76285093179</v>
      </c>
      <c r="AG27" s="4">
        <f>AG26*$C$3</f>
        <v>493508.44910714292</v>
      </c>
    </row>
    <row r="28" spans="1:33" x14ac:dyDescent="0.35">
      <c r="B28" t="s">
        <v>18</v>
      </c>
      <c r="C28" s="9">
        <f t="shared" ref="C28:Q28" si="18">SUM(C21:C23)*0.1*$C$4</f>
        <v>5105.5787080745349</v>
      </c>
      <c r="D28" s="4">
        <f t="shared" si="18"/>
        <v>5094.1863095238105</v>
      </c>
      <c r="E28" s="4">
        <f t="shared" si="18"/>
        <v>4900.5313823642673</v>
      </c>
      <c r="F28" s="4">
        <f t="shared" si="18"/>
        <v>5257.2397186147182</v>
      </c>
      <c r="G28" s="4">
        <f t="shared" si="18"/>
        <v>5064.4537857142868</v>
      </c>
      <c r="H28" s="4">
        <f t="shared" si="18"/>
        <v>5002.9864010989013</v>
      </c>
      <c r="I28" s="4">
        <f t="shared" si="18"/>
        <v>5094.1863095238105</v>
      </c>
      <c r="J28" s="4">
        <f t="shared" si="18"/>
        <v>5030.6292582417582</v>
      </c>
      <c r="K28" s="4">
        <f t="shared" si="18"/>
        <v>5275.6682900432907</v>
      </c>
      <c r="L28" s="4">
        <f t="shared" si="18"/>
        <v>5094.1863095238105</v>
      </c>
      <c r="M28" s="4">
        <f t="shared" si="18"/>
        <v>5027.5966428571437</v>
      </c>
      <c r="N28" s="4">
        <f t="shared" si="18"/>
        <v>5030.6292582417582</v>
      </c>
      <c r="O28" s="4">
        <f t="shared" si="18"/>
        <v>5092.0966428571428</v>
      </c>
      <c r="P28" s="4">
        <f t="shared" si="18"/>
        <v>5027.5966428571437</v>
      </c>
      <c r="Q28" s="4">
        <f t="shared" si="18"/>
        <v>4966.1292582417582</v>
      </c>
      <c r="R28" s="4">
        <f t="shared" ref="R28:AE28" si="19">SUM(R21:R23)*0.1*$C$4</f>
        <v>5094.1863095238105</v>
      </c>
      <c r="S28" s="4">
        <f t="shared" si="19"/>
        <v>5046.0252142857144</v>
      </c>
      <c r="T28" s="4">
        <f t="shared" si="19"/>
        <v>5027.5966428571437</v>
      </c>
      <c r="U28" s="4">
        <f t="shared" si="19"/>
        <v>5074.2423943490439</v>
      </c>
      <c r="V28" s="4">
        <f t="shared" si="19"/>
        <v>4983.6148809523811</v>
      </c>
      <c r="W28" s="4">
        <f t="shared" si="19"/>
        <v>4984.5578296703297</v>
      </c>
      <c r="X28" s="4">
        <f t="shared" si="19"/>
        <v>5105.5787080745349</v>
      </c>
      <c r="Y28" s="4">
        <f t="shared" si="19"/>
        <v>4966.1292582417582</v>
      </c>
      <c r="Z28" s="4">
        <f t="shared" si="19"/>
        <v>4837.4715132275132</v>
      </c>
      <c r="AA28" s="4">
        <f t="shared" si="19"/>
        <v>5248.0254329004338</v>
      </c>
      <c r="AB28" s="4">
        <f t="shared" si="19"/>
        <v>4892.6609890109894</v>
      </c>
      <c r="AC28" s="4">
        <f t="shared" si="19"/>
        <v>5094.1863095238105</v>
      </c>
      <c r="AD28" s="4">
        <f t="shared" si="19"/>
        <v>5046.0252142857144</v>
      </c>
      <c r="AE28" s="4">
        <f t="shared" si="19"/>
        <v>4928.7146091113609</v>
      </c>
      <c r="AF28" s="4">
        <f t="shared" ref="AF28:AG28" si="20">SUM(AF21:AF23)*0.1*$C$4</f>
        <v>5105.5787080745349</v>
      </c>
      <c r="AG28" s="4">
        <f t="shared" si="20"/>
        <v>5094.1863095238105</v>
      </c>
    </row>
    <row r="29" spans="1:33" x14ac:dyDescent="0.35">
      <c r="B29" t="s">
        <v>48</v>
      </c>
      <c r="C29" s="9">
        <f t="shared" ref="C29:Z29" si="21">SUM(C27:C28)+$L$10+$M$10</f>
        <v>734512.57196273294</v>
      </c>
      <c r="D29" s="4">
        <f t="shared" si="21"/>
        <v>689927.74136904767</v>
      </c>
      <c r="E29" s="4">
        <f t="shared" si="21"/>
        <v>723270.45367732004</v>
      </c>
      <c r="F29" s="4">
        <f t="shared" si="21"/>
        <v>630260.05554653693</v>
      </c>
      <c r="G29" s="4">
        <f t="shared" si="21"/>
        <v>698277.60262500006</v>
      </c>
      <c r="H29" s="4">
        <f t="shared" si="21"/>
        <v>696005.27613324171</v>
      </c>
      <c r="I29" s="4">
        <f t="shared" si="21"/>
        <v>659779.64255952393</v>
      </c>
      <c r="J29" s="4">
        <f t="shared" si="21"/>
        <v>707893.79399038455</v>
      </c>
      <c r="K29" s="4">
        <f t="shared" si="21"/>
        <v>619453.43758116895</v>
      </c>
      <c r="L29" s="4">
        <f t="shared" si="21"/>
        <v>669053.43244047626</v>
      </c>
      <c r="M29" s="4">
        <f t="shared" si="21"/>
        <v>769403.80591071432</v>
      </c>
      <c r="N29" s="4">
        <f t="shared" si="21"/>
        <v>702367.63327609887</v>
      </c>
      <c r="O29" s="4">
        <f t="shared" si="21"/>
        <v>693767.31691071438</v>
      </c>
      <c r="P29" s="4">
        <f t="shared" si="21"/>
        <v>689343.31635714287</v>
      </c>
      <c r="Q29" s="4">
        <f t="shared" si="21"/>
        <v>725233.88640109892</v>
      </c>
      <c r="R29" s="4">
        <f t="shared" si="21"/>
        <v>746219.46502976189</v>
      </c>
      <c r="S29" s="4">
        <f t="shared" si="21"/>
        <v>638466.34958928567</v>
      </c>
      <c r="T29" s="4">
        <f t="shared" si="21"/>
        <v>741283.25635714293</v>
      </c>
      <c r="U29" s="4">
        <f t="shared" si="21"/>
        <v>781344.13147606887</v>
      </c>
      <c r="V29" s="4">
        <f t="shared" si="21"/>
        <v>699660.36175595236</v>
      </c>
      <c r="W29" s="4">
        <f t="shared" si="21"/>
        <v>645107.97702609887</v>
      </c>
      <c r="X29" s="4">
        <f t="shared" si="21"/>
        <v>814337.34465838515</v>
      </c>
      <c r="Y29" s="4">
        <f t="shared" si="21"/>
        <v>644800.71854395606</v>
      </c>
      <c r="Z29" s="4">
        <f t="shared" si="21"/>
        <v>816483.38335978845</v>
      </c>
      <c r="AA29" s="4">
        <f>SUM(AA27:AA28)+$L$10+$M$10</f>
        <v>769224.02408008662</v>
      </c>
      <c r="AB29" s="4">
        <f>SUM(AB27:AB28)+$L$10+$M$10-30000</f>
        <v>720746.36456043948</v>
      </c>
      <c r="AC29" s="4">
        <f>SUM(AC27:AC28)+$L$10+$M$10-30000</f>
        <v>620379.87261904753</v>
      </c>
      <c r="AD29" s="4">
        <f>SUM(AD27:AD28)+$L$10+$M$10-30000</f>
        <v>744667.85333928571</v>
      </c>
      <c r="AE29" s="4">
        <f>SUM(AE27:AE28)+$L$10+$M$10-30000</f>
        <v>679372.81746203592</v>
      </c>
      <c r="AF29" s="4">
        <f>SUM(AF27:AF28)+$L$10+$M$10-30000</f>
        <v>651788.34155900637</v>
      </c>
      <c r="AG29" s="4">
        <f>SUM(AG27:AG28)+$L$10+$M$10-30000</f>
        <v>643602.63541666674</v>
      </c>
    </row>
    <row r="30" spans="1:33" x14ac:dyDescent="0.35">
      <c r="B30" t="s">
        <v>49</v>
      </c>
      <c r="C30" s="9">
        <f>(C29+C25)/C15</f>
        <v>19.664968224257674</v>
      </c>
      <c r="D30" s="4">
        <f>C30</f>
        <v>19.664968224257674</v>
      </c>
      <c r="E30" s="4">
        <f t="shared" ref="E30:AA30" si="22">C30</f>
        <v>19.664968224257674</v>
      </c>
      <c r="F30" s="4">
        <f t="shared" si="22"/>
        <v>19.664968224257674</v>
      </c>
      <c r="G30" s="4">
        <f t="shared" si="22"/>
        <v>19.664968224257674</v>
      </c>
      <c r="H30" s="4">
        <f t="shared" si="22"/>
        <v>19.664968224257674</v>
      </c>
      <c r="I30" s="4">
        <f t="shared" si="22"/>
        <v>19.664968224257674</v>
      </c>
      <c r="J30" s="4">
        <f t="shared" si="22"/>
        <v>19.664968224257674</v>
      </c>
      <c r="K30" s="4">
        <f t="shared" si="22"/>
        <v>19.664968224257674</v>
      </c>
      <c r="L30" s="4">
        <f t="shared" si="22"/>
        <v>19.664968224257674</v>
      </c>
      <c r="M30" s="4">
        <f t="shared" si="22"/>
        <v>19.664968224257674</v>
      </c>
      <c r="N30" s="4">
        <f t="shared" si="22"/>
        <v>19.664968224257674</v>
      </c>
      <c r="O30" s="4">
        <f t="shared" si="22"/>
        <v>19.664968224257674</v>
      </c>
      <c r="P30" s="4">
        <f t="shared" si="22"/>
        <v>19.664968224257674</v>
      </c>
      <c r="Q30" s="4">
        <f t="shared" si="22"/>
        <v>19.664968224257674</v>
      </c>
      <c r="R30" s="4">
        <f t="shared" si="22"/>
        <v>19.664968224257674</v>
      </c>
      <c r="S30" s="4">
        <f t="shared" si="22"/>
        <v>19.664968224257674</v>
      </c>
      <c r="T30" s="4">
        <f t="shared" si="22"/>
        <v>19.664968224257674</v>
      </c>
      <c r="U30" s="4">
        <f t="shared" si="22"/>
        <v>19.664968224257674</v>
      </c>
      <c r="V30" s="4">
        <f t="shared" si="22"/>
        <v>19.664968224257674</v>
      </c>
      <c r="W30" s="4">
        <f t="shared" si="22"/>
        <v>19.664968224257674</v>
      </c>
      <c r="X30" s="4">
        <f t="shared" si="22"/>
        <v>19.664968224257674</v>
      </c>
      <c r="Y30" s="4">
        <f t="shared" si="22"/>
        <v>19.664968224257674</v>
      </c>
      <c r="Z30" s="4">
        <f t="shared" si="22"/>
        <v>19.664968224257674</v>
      </c>
      <c r="AA30" s="4">
        <f t="shared" si="22"/>
        <v>19.664968224257674</v>
      </c>
      <c r="AB30" s="4">
        <f>AA30</f>
        <v>19.664968224257674</v>
      </c>
      <c r="AC30" s="4">
        <f>AB30</f>
        <v>19.664968224257674</v>
      </c>
      <c r="AD30" s="4">
        <f>AC30</f>
        <v>19.664968224257674</v>
      </c>
      <c r="AE30" s="4">
        <f>AD30</f>
        <v>19.664968224257674</v>
      </c>
      <c r="AF30" s="4">
        <f>AE30</f>
        <v>19.664968224257674</v>
      </c>
      <c r="AG30" s="4">
        <f>AF30</f>
        <v>19.664968224257674</v>
      </c>
    </row>
    <row r="31" spans="1:33" x14ac:dyDescent="0.35">
      <c r="B31" t="s">
        <v>50</v>
      </c>
      <c r="C31" s="9">
        <f t="shared" ref="C31:Z31" si="23">(C30*C15-C29)/SUM(C21:C23)</f>
        <v>19250</v>
      </c>
      <c r="D31" s="4">
        <f t="shared" si="23"/>
        <v>20343.301855279864</v>
      </c>
      <c r="E31" s="4">
        <f t="shared" si="23"/>
        <v>20330.743046199415</v>
      </c>
      <c r="F31" s="4">
        <f t="shared" si="23"/>
        <v>21074.308578337408</v>
      </c>
      <c r="G31" s="4">
        <f t="shared" si="23"/>
        <v>21196.793053496884</v>
      </c>
      <c r="H31" s="4">
        <f t="shared" si="23"/>
        <v>21511.723074073583</v>
      </c>
      <c r="I31" s="4">
        <f t="shared" si="23"/>
        <v>21053.478444302385</v>
      </c>
      <c r="J31" s="4">
        <f t="shared" si="23"/>
        <v>21813.559399457383</v>
      </c>
      <c r="K31" s="4">
        <f t="shared" si="23"/>
        <v>21693.798046236574</v>
      </c>
      <c r="L31" s="4">
        <f t="shared" si="23"/>
        <v>20835.022597166655</v>
      </c>
      <c r="M31" s="4">
        <f t="shared" si="23"/>
        <v>18715.789817856854</v>
      </c>
      <c r="N31" s="4">
        <f t="shared" si="23"/>
        <v>21945.379744720918</v>
      </c>
      <c r="O31" s="4">
        <f t="shared" si="23"/>
        <v>21883.14857440372</v>
      </c>
      <c r="P31" s="4">
        <f t="shared" si="23"/>
        <v>20626.694655475021</v>
      </c>
      <c r="Q31" s="4">
        <f t="shared" si="23"/>
        <v>20014.749360958365</v>
      </c>
      <c r="R31" s="4">
        <f t="shared" si="23"/>
        <v>19017.279124886805</v>
      </c>
      <c r="S31" s="4">
        <f t="shared" si="23"/>
        <v>22228.928362189563</v>
      </c>
      <c r="T31" s="4">
        <f t="shared" si="23"/>
        <v>19386.978496292853</v>
      </c>
      <c r="U31" s="4">
        <f t="shared" si="23"/>
        <v>18261.367074625494</v>
      </c>
      <c r="V31" s="4">
        <f t="shared" si="23"/>
        <v>17719.242024758438</v>
      </c>
      <c r="W31" s="4">
        <f t="shared" si="23"/>
        <v>22343.152896494266</v>
      </c>
      <c r="X31" s="4">
        <f t="shared" si="23"/>
        <v>17373.822338037997</v>
      </c>
      <c r="Y31" s="4">
        <f t="shared" si="23"/>
        <v>21958.311366888593</v>
      </c>
      <c r="Z31" s="4">
        <f t="shared" si="23"/>
        <v>18283.496351542937</v>
      </c>
      <c r="AA31" s="4">
        <f>(AA30*AA15-AA29)/SUM(AA21:AA23)</f>
        <v>17708.968634234152</v>
      </c>
      <c r="AB31" s="4">
        <f>(AB30*AB15-AB29)/SUM(AB21:AB23)</f>
        <v>22113.451538110487</v>
      </c>
      <c r="AC31" s="4">
        <f>(AC30*AC15-AC29)/SUM(AC21:AC23)</f>
        <v>21981.589845335759</v>
      </c>
      <c r="AD31" s="4">
        <f>(AD30*AD15-AD29)/SUM(AD21:AD23)</f>
        <v>19703.340417460277</v>
      </c>
      <c r="AE31" s="4">
        <f>(AE30*AE15-AE29)/SUM(AE21:AE23)</f>
        <v>19368.128101068127</v>
      </c>
      <c r="AF31" s="4">
        <f>(AF30*AF15-AF29)/SUM(AF21:AF23)</f>
        <v>21194.325651614705</v>
      </c>
      <c r="AG31" s="4">
        <f>(AG30*AG15-AG29)/SUM(AG21:AG23)</f>
        <v>21434.548302998686</v>
      </c>
    </row>
    <row r="32" spans="1:33" x14ac:dyDescent="0.35">
      <c r="B32" t="s">
        <v>53</v>
      </c>
      <c r="C32" s="13"/>
      <c r="D32" s="14">
        <f t="shared" ref="D32:Z32" si="24">D31/$C$31</f>
        <v>1.0567949015729798</v>
      </c>
      <c r="E32" s="14">
        <f t="shared" si="24"/>
        <v>1.0561424959064631</v>
      </c>
      <c r="F32" s="14">
        <f t="shared" si="24"/>
        <v>1.0947692767967485</v>
      </c>
      <c r="G32" s="14">
        <f t="shared" si="24"/>
        <v>1.1011321066751627</v>
      </c>
      <c r="H32" s="14">
        <f t="shared" si="24"/>
        <v>1.1174921077440823</v>
      </c>
      <c r="I32" s="14">
        <f t="shared" si="24"/>
        <v>1.0936871919118123</v>
      </c>
      <c r="J32" s="14">
        <f t="shared" si="24"/>
        <v>1.133171916854929</v>
      </c>
      <c r="K32" s="14">
        <f t="shared" si="24"/>
        <v>1.1269505478564454</v>
      </c>
      <c r="L32" s="14">
        <f t="shared" si="24"/>
        <v>1.0823388362164497</v>
      </c>
      <c r="M32" s="14">
        <f t="shared" si="24"/>
        <v>0.97224882170684956</v>
      </c>
      <c r="N32" s="14">
        <f t="shared" si="24"/>
        <v>1.1400197269984893</v>
      </c>
      <c r="O32" s="14">
        <f t="shared" si="24"/>
        <v>1.1367869389300633</v>
      </c>
      <c r="P32" s="14">
        <f t="shared" si="24"/>
        <v>1.0715166054792218</v>
      </c>
      <c r="Q32" s="14">
        <f t="shared" si="24"/>
        <v>1.0397272395303048</v>
      </c>
      <c r="R32" s="14">
        <f t="shared" si="24"/>
        <v>0.98791060389022367</v>
      </c>
      <c r="S32" s="14">
        <f t="shared" si="24"/>
        <v>1.1547495253085487</v>
      </c>
      <c r="T32" s="14">
        <f t="shared" si="24"/>
        <v>1.0071157660411871</v>
      </c>
      <c r="U32" s="14">
        <f t="shared" si="24"/>
        <v>0.94864244543509058</v>
      </c>
      <c r="V32" s="14">
        <f t="shared" si="24"/>
        <v>0.92048010518225654</v>
      </c>
      <c r="W32" s="14">
        <f t="shared" si="24"/>
        <v>1.1606832673503515</v>
      </c>
      <c r="X32" s="14">
        <f t="shared" si="24"/>
        <v>0.90253622535262323</v>
      </c>
      <c r="Y32" s="14">
        <f t="shared" si="24"/>
        <v>1.1406914995786281</v>
      </c>
      <c r="Z32" s="14">
        <f t="shared" si="24"/>
        <v>0.94979201826197079</v>
      </c>
      <c r="AA32" s="14">
        <f>AA31/$C$31</f>
        <v>0.91994642255761827</v>
      </c>
      <c r="AB32" s="14">
        <f>AB31/$C$31</f>
        <v>1.1487507292524928</v>
      </c>
      <c r="AC32" s="14">
        <f>AC31/$C$31</f>
        <v>1.1419007711862732</v>
      </c>
      <c r="AD32" s="14">
        <f>AD31/$C$31</f>
        <v>1.0235501515563781</v>
      </c>
      <c r="AE32" s="14">
        <f>AE31/$C$31</f>
        <v>1.0061365247308118</v>
      </c>
      <c r="AF32" s="14">
        <f>AF31/$C$31</f>
        <v>1.1010039299540106</v>
      </c>
      <c r="AG32" s="14">
        <f>AG31/$C$31</f>
        <v>1.1134830287272044</v>
      </c>
    </row>
    <row r="34" spans="1:33" x14ac:dyDescent="0.35">
      <c r="A34" t="s">
        <v>59</v>
      </c>
      <c r="B34" t="s">
        <v>9</v>
      </c>
      <c r="C34" s="10">
        <v>69500</v>
      </c>
      <c r="D34" s="10">
        <v>69500</v>
      </c>
      <c r="E34" s="10">
        <v>69500</v>
      </c>
      <c r="F34" s="10">
        <v>69500</v>
      </c>
      <c r="G34" s="10">
        <v>69500</v>
      </c>
      <c r="H34" s="10">
        <v>69500</v>
      </c>
      <c r="I34" s="10">
        <v>69500</v>
      </c>
      <c r="J34" s="10">
        <v>72000</v>
      </c>
      <c r="K34" s="10">
        <v>69500</v>
      </c>
      <c r="L34" s="10">
        <v>69500</v>
      </c>
      <c r="M34" s="10">
        <v>69500</v>
      </c>
      <c r="N34" s="10">
        <v>72000</v>
      </c>
      <c r="O34" s="10">
        <v>69500</v>
      </c>
      <c r="P34" s="10">
        <v>69500</v>
      </c>
      <c r="Q34" s="10">
        <v>69500</v>
      </c>
      <c r="R34" s="10">
        <v>69501</v>
      </c>
      <c r="S34" s="10">
        <v>69900</v>
      </c>
      <c r="T34" s="10">
        <v>69500</v>
      </c>
      <c r="U34" s="10">
        <v>69500</v>
      </c>
      <c r="V34" s="10">
        <v>65000</v>
      </c>
      <c r="W34" s="10">
        <v>69500</v>
      </c>
      <c r="X34" s="10">
        <v>69500</v>
      </c>
      <c r="Y34" s="10">
        <v>69500</v>
      </c>
      <c r="Z34" s="10">
        <v>69500</v>
      </c>
      <c r="AA34" s="10">
        <v>69500</v>
      </c>
      <c r="AB34" s="10">
        <v>72000</v>
      </c>
      <c r="AC34" s="10">
        <v>69500</v>
      </c>
      <c r="AD34" s="10">
        <v>70500</v>
      </c>
      <c r="AE34" s="10">
        <v>64000</v>
      </c>
      <c r="AF34" s="10">
        <v>69500</v>
      </c>
      <c r="AG34" s="10">
        <v>69500</v>
      </c>
    </row>
    <row r="35" spans="1:33" x14ac:dyDescent="0.35">
      <c r="B35" t="s">
        <v>41</v>
      </c>
      <c r="C35" s="10">
        <f t="shared" ref="C35:Q35" si="25">$E$11/C16/24*$C$5</f>
        <v>44.362355072463771</v>
      </c>
      <c r="D35" s="10">
        <f t="shared" si="25"/>
        <v>42.513923611111117</v>
      </c>
      <c r="E35" s="10">
        <f t="shared" si="25"/>
        <v>41.646292517006799</v>
      </c>
      <c r="F35" s="10">
        <f t="shared" si="25"/>
        <v>46.378825757575761</v>
      </c>
      <c r="G35" s="10">
        <f t="shared" si="25"/>
        <v>42.513923611111117</v>
      </c>
      <c r="H35" s="10">
        <f t="shared" si="25"/>
        <v>42.513923611111117</v>
      </c>
      <c r="I35" s="10">
        <f t="shared" si="25"/>
        <v>42.513923611111117</v>
      </c>
      <c r="J35" s="10">
        <f t="shared" si="25"/>
        <v>42.513923611111117</v>
      </c>
      <c r="K35" s="10">
        <f t="shared" si="25"/>
        <v>46.378825757575761</v>
      </c>
      <c r="L35" s="10">
        <f t="shared" si="25"/>
        <v>42.513923611111117</v>
      </c>
      <c r="M35" s="10">
        <f t="shared" si="25"/>
        <v>42.513923611111117</v>
      </c>
      <c r="N35" s="10">
        <f t="shared" si="25"/>
        <v>42.513923611111117</v>
      </c>
      <c r="O35" s="10">
        <f t="shared" si="25"/>
        <v>42.513923611111117</v>
      </c>
      <c r="P35" s="10">
        <f t="shared" si="25"/>
        <v>42.513923611111117</v>
      </c>
      <c r="Q35" s="10">
        <f t="shared" si="25"/>
        <v>42.513923611111117</v>
      </c>
      <c r="R35" s="10">
        <f t="shared" ref="R35:AE35" si="26">$E$11/R16/24*$C$5</f>
        <v>42.513923611111117</v>
      </c>
      <c r="S35" s="10">
        <f t="shared" si="26"/>
        <v>42.513923611111117</v>
      </c>
      <c r="T35" s="10">
        <f t="shared" si="26"/>
        <v>42.513923611111117</v>
      </c>
      <c r="U35" s="10">
        <f t="shared" si="26"/>
        <v>44.362355072463771</v>
      </c>
      <c r="V35" s="10">
        <f t="shared" si="26"/>
        <v>42.513923611111117</v>
      </c>
      <c r="W35" s="10">
        <f t="shared" si="26"/>
        <v>42.513923611111117</v>
      </c>
      <c r="X35" s="10">
        <f t="shared" si="26"/>
        <v>44.362355072463771</v>
      </c>
      <c r="Y35" s="10">
        <f t="shared" si="26"/>
        <v>42.513923611111117</v>
      </c>
      <c r="Z35" s="10">
        <f t="shared" si="26"/>
        <v>40.813366666666674</v>
      </c>
      <c r="AA35" s="10">
        <f t="shared" si="26"/>
        <v>46.378825757575761</v>
      </c>
      <c r="AB35" s="10">
        <f t="shared" si="26"/>
        <v>39.2436217948718</v>
      </c>
      <c r="AC35" s="10">
        <f t="shared" si="26"/>
        <v>42.513923611111117</v>
      </c>
      <c r="AD35" s="10">
        <f t="shared" si="26"/>
        <v>42.513923611111117</v>
      </c>
      <c r="AE35" s="10">
        <f t="shared" si="26"/>
        <v>42.513923611111117</v>
      </c>
      <c r="AF35" s="10">
        <f t="shared" ref="AF35:AG35" si="27">$E$11/AF16/24*$C$5</f>
        <v>44.362355072463771</v>
      </c>
      <c r="AG35" s="10">
        <f t="shared" si="27"/>
        <v>42.513923611111117</v>
      </c>
    </row>
    <row r="36" spans="1:33" x14ac:dyDescent="0.35">
      <c r="B36" t="s">
        <v>40</v>
      </c>
      <c r="C36" s="10">
        <f t="shared" ref="C36:Q36" si="28">$D$11/C17/24*$C$5</f>
        <v>32.010833333333338</v>
      </c>
      <c r="D36" s="10">
        <f t="shared" si="28"/>
        <v>33.344618055555557</v>
      </c>
      <c r="E36" s="10">
        <f t="shared" si="28"/>
        <v>30.198899371069182</v>
      </c>
      <c r="F36" s="10">
        <f t="shared" si="28"/>
        <v>33.344618055555557</v>
      </c>
      <c r="G36" s="10">
        <f t="shared" si="28"/>
        <v>32.010833333333338</v>
      </c>
      <c r="H36" s="10">
        <f t="shared" si="28"/>
        <v>30.779647435897434</v>
      </c>
      <c r="I36" s="10">
        <f t="shared" si="28"/>
        <v>33.344618055555557</v>
      </c>
      <c r="J36" s="10">
        <f t="shared" si="28"/>
        <v>30.779647435897434</v>
      </c>
      <c r="K36" s="10">
        <f t="shared" si="28"/>
        <v>33.344618055555557</v>
      </c>
      <c r="L36" s="10">
        <f t="shared" si="28"/>
        <v>33.344618055555557</v>
      </c>
      <c r="M36" s="10">
        <f t="shared" si="28"/>
        <v>32.010833333333338</v>
      </c>
      <c r="N36" s="10">
        <f t="shared" si="28"/>
        <v>30.779647435897434</v>
      </c>
      <c r="O36" s="10">
        <f t="shared" si="28"/>
        <v>32.010833333333338</v>
      </c>
      <c r="P36" s="10">
        <f t="shared" si="28"/>
        <v>32.010833333333338</v>
      </c>
      <c r="Q36" s="10">
        <f t="shared" si="28"/>
        <v>30.779647435897434</v>
      </c>
      <c r="R36" s="10">
        <f t="shared" ref="R36:AE36" si="29">$D$11/R17/24*$C$5</f>
        <v>33.344618055555557</v>
      </c>
      <c r="S36" s="10">
        <f t="shared" si="29"/>
        <v>32.010833333333338</v>
      </c>
      <c r="T36" s="10">
        <f t="shared" si="29"/>
        <v>32.010833333333338</v>
      </c>
      <c r="U36" s="10">
        <f t="shared" si="29"/>
        <v>31.38316993464052</v>
      </c>
      <c r="V36" s="10">
        <f t="shared" si="29"/>
        <v>33.344618055555557</v>
      </c>
      <c r="W36" s="10">
        <f t="shared" si="29"/>
        <v>30.779647435897434</v>
      </c>
      <c r="X36" s="10">
        <f t="shared" si="29"/>
        <v>32.010833333333338</v>
      </c>
      <c r="Y36" s="10">
        <f t="shared" si="29"/>
        <v>30.779647435897434</v>
      </c>
      <c r="Z36" s="10">
        <f t="shared" si="29"/>
        <v>29.639660493827162</v>
      </c>
      <c r="AA36" s="10">
        <f t="shared" si="29"/>
        <v>33.344618055555557</v>
      </c>
      <c r="AB36" s="10">
        <f t="shared" si="29"/>
        <v>30.779647435897434</v>
      </c>
      <c r="AC36" s="10">
        <f t="shared" si="29"/>
        <v>33.344618055555557</v>
      </c>
      <c r="AD36" s="10">
        <f t="shared" si="29"/>
        <v>32.010833333333338</v>
      </c>
      <c r="AE36" s="10">
        <f t="shared" si="29"/>
        <v>31.506725721784779</v>
      </c>
      <c r="AF36" s="10">
        <f t="shared" ref="AF36:AG36" si="30">$D$11/AF17/24*$C$5</f>
        <v>32.010833333333338</v>
      </c>
      <c r="AG36" s="10">
        <f t="shared" si="30"/>
        <v>33.344618055555557</v>
      </c>
    </row>
    <row r="37" spans="1:33" x14ac:dyDescent="0.35">
      <c r="B37" t="s">
        <v>42</v>
      </c>
      <c r="C37" s="10">
        <f>C34/$G$11*$I$11+C34/$H$11*$J$11+$K$11/24</f>
        <v>26.259374999999999</v>
      </c>
      <c r="D37" s="10">
        <f>D34/$G$11*$I$11+D34/$H$11*$J$11+$K$11/24</f>
        <v>26.259374999999999</v>
      </c>
      <c r="E37" s="10">
        <f t="shared" ref="E37:Y37" si="31">E34/$G$11*$I$11+E34/$H$11*$J$11+$K$11/24</f>
        <v>26.259374999999999</v>
      </c>
      <c r="F37" s="10">
        <f t="shared" si="31"/>
        <v>26.259374999999999</v>
      </c>
      <c r="G37" s="10">
        <f t="shared" si="31"/>
        <v>26.259374999999999</v>
      </c>
      <c r="H37" s="10">
        <f t="shared" si="31"/>
        <v>26.259374999999999</v>
      </c>
      <c r="I37" s="10">
        <f t="shared" si="31"/>
        <v>26.259374999999999</v>
      </c>
      <c r="J37" s="10">
        <f t="shared" si="31"/>
        <v>27.15</v>
      </c>
      <c r="K37" s="10">
        <f t="shared" si="31"/>
        <v>26.259374999999999</v>
      </c>
      <c r="L37" s="10">
        <f t="shared" si="31"/>
        <v>26.259374999999999</v>
      </c>
      <c r="M37" s="10">
        <f t="shared" si="31"/>
        <v>26.259374999999999</v>
      </c>
      <c r="N37" s="10">
        <f t="shared" si="31"/>
        <v>27.15</v>
      </c>
      <c r="O37" s="10">
        <f t="shared" si="31"/>
        <v>26.259374999999999</v>
      </c>
      <c r="P37" s="10">
        <f t="shared" si="31"/>
        <v>26.259374999999999</v>
      </c>
      <c r="Q37" s="10">
        <f t="shared" si="31"/>
        <v>26.259374999999999</v>
      </c>
      <c r="R37" s="10">
        <f t="shared" si="31"/>
        <v>26.259731250000002</v>
      </c>
      <c r="S37" s="10">
        <f t="shared" si="31"/>
        <v>26.401875000000004</v>
      </c>
      <c r="T37" s="10">
        <f t="shared" si="31"/>
        <v>26.259374999999999</v>
      </c>
      <c r="U37" s="10">
        <f t="shared" si="31"/>
        <v>26.259374999999999</v>
      </c>
      <c r="V37" s="10">
        <f t="shared" si="31"/>
        <v>24.65625</v>
      </c>
      <c r="W37" s="10">
        <f t="shared" si="31"/>
        <v>26.259374999999999</v>
      </c>
      <c r="X37" s="10">
        <f t="shared" si="31"/>
        <v>26.259374999999999</v>
      </c>
      <c r="Y37" s="10">
        <f t="shared" si="31"/>
        <v>26.259374999999999</v>
      </c>
      <c r="Z37" s="10">
        <f t="shared" ref="Z37:AE37" si="32">Z34/$G$11*$I$11+Z34/$H$11*$J$11+$K$11/24</f>
        <v>26.259374999999999</v>
      </c>
      <c r="AA37" s="10">
        <f t="shared" si="32"/>
        <v>26.259374999999999</v>
      </c>
      <c r="AB37" s="10">
        <f t="shared" si="32"/>
        <v>27.15</v>
      </c>
      <c r="AC37" s="10">
        <f t="shared" si="32"/>
        <v>26.259374999999999</v>
      </c>
      <c r="AD37" s="10">
        <f t="shared" si="32"/>
        <v>26.615625000000001</v>
      </c>
      <c r="AE37" s="10">
        <f t="shared" si="32"/>
        <v>24.3</v>
      </c>
      <c r="AF37" s="10">
        <f t="shared" ref="AF37:AG37" si="33">AF34/$G$11*$I$11+AF34/$H$11*$J$11+$K$11/24</f>
        <v>26.259374999999999</v>
      </c>
      <c r="AG37" s="10">
        <f t="shared" si="33"/>
        <v>26.259374999999999</v>
      </c>
    </row>
    <row r="38" spans="1:33" x14ac:dyDescent="0.35">
      <c r="B38" t="s">
        <v>66</v>
      </c>
      <c r="C38" s="10">
        <f>SUM(C35:C37)</f>
        <v>102.6325634057971</v>
      </c>
      <c r="D38" s="10">
        <f t="shared" ref="D38:Q38" si="34">SUM(D35:D37)</f>
        <v>102.11791666666667</v>
      </c>
      <c r="E38" s="10">
        <f t="shared" si="34"/>
        <v>98.104566888075993</v>
      </c>
      <c r="F38" s="10">
        <f t="shared" si="34"/>
        <v>105.98281881313133</v>
      </c>
      <c r="G38" s="10">
        <f t="shared" si="34"/>
        <v>100.78413194444445</v>
      </c>
      <c r="H38" s="10">
        <f t="shared" si="34"/>
        <v>99.552946047008561</v>
      </c>
      <c r="I38" s="10">
        <f t="shared" si="34"/>
        <v>102.11791666666667</v>
      </c>
      <c r="J38" s="10">
        <f t="shared" si="34"/>
        <v>100.44357104700856</v>
      </c>
      <c r="K38" s="10">
        <f t="shared" si="34"/>
        <v>105.98281881313133</v>
      </c>
      <c r="L38" s="10">
        <f t="shared" si="34"/>
        <v>102.11791666666667</v>
      </c>
      <c r="M38" s="10">
        <f t="shared" si="34"/>
        <v>100.78413194444445</v>
      </c>
      <c r="N38" s="10">
        <f t="shared" si="34"/>
        <v>100.44357104700856</v>
      </c>
      <c r="O38" s="10">
        <f t="shared" si="34"/>
        <v>100.78413194444445</v>
      </c>
      <c r="P38" s="10">
        <f t="shared" si="34"/>
        <v>100.78413194444445</v>
      </c>
      <c r="Q38" s="10">
        <f t="shared" si="34"/>
        <v>99.552946047008561</v>
      </c>
      <c r="R38" s="10">
        <f t="shared" ref="R38:AG38" si="35">SUM(R35:R37)</f>
        <v>102.11827291666667</v>
      </c>
      <c r="S38" s="10">
        <f t="shared" si="35"/>
        <v>100.92663194444445</v>
      </c>
      <c r="T38" s="10">
        <f t="shared" si="35"/>
        <v>100.78413194444445</v>
      </c>
      <c r="U38" s="10">
        <f t="shared" si="35"/>
        <v>102.00490000710428</v>
      </c>
      <c r="V38" s="10">
        <f t="shared" si="35"/>
        <v>100.51479166666667</v>
      </c>
      <c r="W38" s="10">
        <f t="shared" si="35"/>
        <v>99.552946047008561</v>
      </c>
      <c r="X38" s="10">
        <f t="shared" si="35"/>
        <v>102.6325634057971</v>
      </c>
      <c r="Y38" s="10">
        <f t="shared" si="35"/>
        <v>99.552946047008561</v>
      </c>
      <c r="Z38" s="10">
        <f t="shared" si="35"/>
        <v>96.712402160493838</v>
      </c>
      <c r="AA38" s="10">
        <f t="shared" si="35"/>
        <v>105.98281881313133</v>
      </c>
      <c r="AB38" s="10">
        <f t="shared" si="35"/>
        <v>97.173269230769222</v>
      </c>
      <c r="AC38" s="10">
        <f t="shared" si="35"/>
        <v>102.11791666666667</v>
      </c>
      <c r="AD38" s="10">
        <f t="shared" si="35"/>
        <v>101.14038194444444</v>
      </c>
      <c r="AE38" s="10">
        <f t="shared" si="35"/>
        <v>98.320649332895897</v>
      </c>
      <c r="AF38" s="10">
        <f t="shared" si="35"/>
        <v>102.6325634057971</v>
      </c>
      <c r="AG38" s="10">
        <f t="shared" si="35"/>
        <v>102.11791666666667</v>
      </c>
    </row>
    <row r="39" spans="1:33" x14ac:dyDescent="0.35">
      <c r="B39" t="s">
        <v>43</v>
      </c>
      <c r="C39" s="9">
        <f>SUM(C35:C37)*$C$2*0.9625</f>
        <v>1975676.8455615942</v>
      </c>
      <c r="D39" s="9">
        <f>SUM(D35:D37)*$C$2*0.9625</f>
        <v>1965769.8958333335</v>
      </c>
      <c r="E39" s="9">
        <f t="shared" ref="E39:Q39" si="36">SUM(E35:E37)*$C$2*0.9625</f>
        <v>1888512.912595463</v>
      </c>
      <c r="F39" s="9">
        <f t="shared" si="36"/>
        <v>2040169.2621527782</v>
      </c>
      <c r="G39" s="9">
        <f t="shared" si="36"/>
        <v>1940094.5399305557</v>
      </c>
      <c r="H39" s="9">
        <f t="shared" si="36"/>
        <v>1916394.211404915</v>
      </c>
      <c r="I39" s="9">
        <f t="shared" si="36"/>
        <v>1965769.8958333335</v>
      </c>
      <c r="J39" s="9">
        <f t="shared" si="36"/>
        <v>1933538.742654915</v>
      </c>
      <c r="K39" s="9">
        <f t="shared" si="36"/>
        <v>2040169.2621527782</v>
      </c>
      <c r="L39" s="9">
        <f t="shared" si="36"/>
        <v>1965769.8958333335</v>
      </c>
      <c r="M39" s="9">
        <f t="shared" si="36"/>
        <v>1940094.5399305557</v>
      </c>
      <c r="N39" s="9">
        <f t="shared" si="36"/>
        <v>1933538.742654915</v>
      </c>
      <c r="O39" s="9">
        <f t="shared" si="36"/>
        <v>1940094.5399305557</v>
      </c>
      <c r="P39" s="9">
        <f t="shared" si="36"/>
        <v>1940094.5399305557</v>
      </c>
      <c r="Q39" s="9">
        <f t="shared" si="36"/>
        <v>1916394.211404915</v>
      </c>
      <c r="R39" s="9">
        <f t="shared" ref="R39:AE39" si="37">SUM(R35:R37)*$C$2*0.9625</f>
        <v>1965776.7536458336</v>
      </c>
      <c r="S39" s="9">
        <f t="shared" si="37"/>
        <v>1942837.6649305557</v>
      </c>
      <c r="T39" s="9">
        <f t="shared" si="37"/>
        <v>1940094.5399305557</v>
      </c>
      <c r="U39" s="9">
        <f t="shared" si="37"/>
        <v>1963594.3251367575</v>
      </c>
      <c r="V39" s="9">
        <f t="shared" si="37"/>
        <v>1934909.7395833333</v>
      </c>
      <c r="W39" s="9">
        <f t="shared" si="37"/>
        <v>1916394.211404915</v>
      </c>
      <c r="X39" s="9">
        <f t="shared" si="37"/>
        <v>1975676.8455615942</v>
      </c>
      <c r="Y39" s="9">
        <f t="shared" si="37"/>
        <v>1916394.211404915</v>
      </c>
      <c r="Z39" s="9">
        <f t="shared" si="37"/>
        <v>1861713.7415895066</v>
      </c>
      <c r="AA39" s="9">
        <f t="shared" si="37"/>
        <v>2040169.2621527782</v>
      </c>
      <c r="AB39" s="9">
        <f t="shared" si="37"/>
        <v>1870585.4326923077</v>
      </c>
      <c r="AC39" s="9">
        <f t="shared" si="37"/>
        <v>1965769.8958333335</v>
      </c>
      <c r="AD39" s="9">
        <f t="shared" si="37"/>
        <v>1946952.3524305555</v>
      </c>
      <c r="AE39" s="9">
        <f t="shared" si="37"/>
        <v>1892672.4996582461</v>
      </c>
      <c r="AF39" s="9">
        <f t="shared" ref="AF39:AG39" si="38">SUM(AF35:AF37)*$C$2*0.9625</f>
        <v>1975676.8455615942</v>
      </c>
      <c r="AG39" s="9">
        <f t="shared" si="38"/>
        <v>1965769.8958333335</v>
      </c>
    </row>
    <row r="40" spans="1:33" x14ac:dyDescent="0.35">
      <c r="B40" t="s">
        <v>52</v>
      </c>
      <c r="C40" s="10">
        <f t="shared" ref="C40:Q40" si="39">(C35*C18+C36*C19+C37*C20)</f>
        <v>1830.3881657608697</v>
      </c>
      <c r="D40" s="10">
        <f t="shared" si="39"/>
        <v>1683.4786284722225</v>
      </c>
      <c r="E40" s="10">
        <f t="shared" si="39"/>
        <v>1785.1228750481325</v>
      </c>
      <c r="F40" s="10">
        <f t="shared" si="39"/>
        <v>1490.0425615530303</v>
      </c>
      <c r="G40" s="10">
        <f t="shared" si="39"/>
        <v>1698.6925868055557</v>
      </c>
      <c r="H40" s="10">
        <f t="shared" si="39"/>
        <v>1705.7132411858977</v>
      </c>
      <c r="I40" s="10">
        <f t="shared" si="39"/>
        <v>1595.7818923611114</v>
      </c>
      <c r="J40" s="10">
        <f t="shared" si="39"/>
        <v>1736.8710536858978</v>
      </c>
      <c r="K40" s="10">
        <f t="shared" si="39"/>
        <v>1444.6453690025255</v>
      </c>
      <c r="L40" s="10">
        <f t="shared" si="39"/>
        <v>1621.707513888889</v>
      </c>
      <c r="M40" s="10">
        <f t="shared" si="39"/>
        <v>1951.6510937500002</v>
      </c>
      <c r="N40" s="10">
        <f t="shared" si="39"/>
        <v>1723.2960536858977</v>
      </c>
      <c r="O40" s="10">
        <f t="shared" si="39"/>
        <v>1685.5628993055557</v>
      </c>
      <c r="P40" s="10">
        <f t="shared" si="39"/>
        <v>1701.5666666666666</v>
      </c>
      <c r="Q40" s="10">
        <f t="shared" si="39"/>
        <v>1810.4017227564102</v>
      </c>
      <c r="R40" s="10">
        <f t="shared" ref="R40:AE40" si="40">(R35*R18+R36*R19+R37*R20)</f>
        <v>1876.6692072916667</v>
      </c>
      <c r="S40" s="10">
        <f t="shared" si="40"/>
        <v>1524.1315798611115</v>
      </c>
      <c r="T40" s="10">
        <f t="shared" si="40"/>
        <v>1861.6208333333334</v>
      </c>
      <c r="U40" s="10">
        <f t="shared" si="40"/>
        <v>1998.6756251776071</v>
      </c>
      <c r="V40" s="10">
        <f t="shared" si="40"/>
        <v>1735.5941319444446</v>
      </c>
      <c r="W40" s="10">
        <f t="shared" si="40"/>
        <v>1534.2621354166668</v>
      </c>
      <c r="X40" s="10">
        <f t="shared" si="40"/>
        <v>2103.8700860507247</v>
      </c>
      <c r="Y40" s="10">
        <f t="shared" si="40"/>
        <v>1544.649545940171</v>
      </c>
      <c r="Z40" s="10">
        <f t="shared" si="40"/>
        <v>2109.568488580247</v>
      </c>
      <c r="AA40" s="10">
        <f t="shared" si="40"/>
        <v>1951.8063952020202</v>
      </c>
      <c r="AB40" s="10">
        <f t="shared" si="40"/>
        <v>1875.776233974359</v>
      </c>
      <c r="AC40" s="10">
        <f t="shared" si="40"/>
        <v>1548.4338541666668</v>
      </c>
      <c r="AD40" s="10">
        <f t="shared" si="40"/>
        <v>1977.5305729166669</v>
      </c>
      <c r="AE40" s="10">
        <f t="shared" si="40"/>
        <v>1746.3070700459318</v>
      </c>
      <c r="AF40" s="10">
        <f t="shared" ref="AF40:AG40" si="41">(AF35*AF18+AF36*AF19+AF37*AF20)</f>
        <v>1662.8100498188408</v>
      </c>
      <c r="AG40" s="10">
        <f t="shared" si="41"/>
        <v>1629.9190798611114</v>
      </c>
    </row>
    <row r="41" spans="1:33" x14ac:dyDescent="0.35">
      <c r="B41" t="s">
        <v>47</v>
      </c>
      <c r="C41" s="9">
        <f>C40*$C$3</f>
        <v>1427702.7692934785</v>
      </c>
      <c r="D41" s="9">
        <f>D40*$C$3</f>
        <v>1313113.3302083334</v>
      </c>
      <c r="E41" s="9">
        <f t="shared" ref="E41:Q41" si="42">E40*$C$3</f>
        <v>1392395.8425375433</v>
      </c>
      <c r="F41" s="9">
        <f t="shared" si="42"/>
        <v>1162233.1980113636</v>
      </c>
      <c r="G41" s="9">
        <f t="shared" si="42"/>
        <v>1324980.2177083334</v>
      </c>
      <c r="H41" s="9">
        <f t="shared" si="42"/>
        <v>1330456.3281250002</v>
      </c>
      <c r="I41" s="9">
        <f t="shared" si="42"/>
        <v>1244709.8760416668</v>
      </c>
      <c r="J41" s="9">
        <f t="shared" si="42"/>
        <v>1354759.4218750002</v>
      </c>
      <c r="K41" s="9">
        <f t="shared" si="42"/>
        <v>1126823.3878219698</v>
      </c>
      <c r="L41" s="9">
        <f t="shared" si="42"/>
        <v>1264931.8608333333</v>
      </c>
      <c r="M41" s="9">
        <f t="shared" si="42"/>
        <v>1522287.8531250001</v>
      </c>
      <c r="N41" s="9">
        <f t="shared" si="42"/>
        <v>1344170.9218750002</v>
      </c>
      <c r="O41" s="9">
        <f t="shared" si="42"/>
        <v>1314739.0614583334</v>
      </c>
      <c r="P41" s="9">
        <f t="shared" si="42"/>
        <v>1327222</v>
      </c>
      <c r="Q41" s="9">
        <f t="shared" si="42"/>
        <v>1412113.34375</v>
      </c>
      <c r="R41" s="9">
        <f t="shared" ref="R41:AG41" si="43">R40*$C$3</f>
        <v>1463801.9816874999</v>
      </c>
      <c r="S41" s="9">
        <f t="shared" si="43"/>
        <v>1188822.6322916669</v>
      </c>
      <c r="T41" s="9">
        <f t="shared" si="43"/>
        <v>1452064.25</v>
      </c>
      <c r="U41" s="9">
        <f t="shared" si="43"/>
        <v>1558966.9876385336</v>
      </c>
      <c r="V41" s="9">
        <f t="shared" si="43"/>
        <v>1353763.4229166668</v>
      </c>
      <c r="W41" s="9">
        <f t="shared" si="43"/>
        <v>1196724.465625</v>
      </c>
      <c r="X41" s="9">
        <f t="shared" si="43"/>
        <v>1641018.6671195652</v>
      </c>
      <c r="Y41" s="9">
        <f t="shared" si="43"/>
        <v>1204826.6458333335</v>
      </c>
      <c r="Z41" s="9">
        <f t="shared" si="43"/>
        <v>1645463.4210925926</v>
      </c>
      <c r="AA41" s="9">
        <f t="shared" si="43"/>
        <v>1522408.9882575758</v>
      </c>
      <c r="AB41" s="9">
        <f t="shared" si="43"/>
        <v>1463105.4624999999</v>
      </c>
      <c r="AC41" s="9">
        <f t="shared" si="43"/>
        <v>1207778.4062500002</v>
      </c>
      <c r="AD41" s="9">
        <f t="shared" si="43"/>
        <v>1542473.846875</v>
      </c>
      <c r="AE41" s="9">
        <f t="shared" si="43"/>
        <v>1362119.5146358269</v>
      </c>
      <c r="AF41" s="9">
        <f t="shared" si="43"/>
        <v>1296991.8388586957</v>
      </c>
      <c r="AG41" s="9">
        <f t="shared" si="43"/>
        <v>1271336.8822916669</v>
      </c>
    </row>
    <row r="42" spans="1:33" x14ac:dyDescent="0.35">
      <c r="B42" t="s">
        <v>18</v>
      </c>
      <c r="C42" s="9">
        <f t="shared" ref="C42:AE42" si="44">SUM(C35:C37)*0.1*$C$4</f>
        <v>12315.907608695652</v>
      </c>
      <c r="D42" s="9">
        <f t="shared" si="44"/>
        <v>12254.150000000001</v>
      </c>
      <c r="E42" s="9">
        <f t="shared" si="44"/>
        <v>11772.54802656912</v>
      </c>
      <c r="F42" s="9">
        <f t="shared" si="44"/>
        <v>12717.938257575761</v>
      </c>
      <c r="G42" s="9">
        <f t="shared" si="44"/>
        <v>12094.095833333335</v>
      </c>
      <c r="H42" s="9">
        <f t="shared" si="44"/>
        <v>11946.353525641029</v>
      </c>
      <c r="I42" s="9">
        <f t="shared" si="44"/>
        <v>12254.150000000001</v>
      </c>
      <c r="J42" s="9">
        <f t="shared" si="44"/>
        <v>12053.228525641029</v>
      </c>
      <c r="K42" s="9">
        <f t="shared" si="44"/>
        <v>12717.938257575761</v>
      </c>
      <c r="L42" s="9">
        <f t="shared" si="44"/>
        <v>12254.150000000001</v>
      </c>
      <c r="M42" s="9">
        <f t="shared" si="44"/>
        <v>12094.095833333335</v>
      </c>
      <c r="N42" s="9">
        <f t="shared" si="44"/>
        <v>12053.228525641029</v>
      </c>
      <c r="O42" s="9">
        <f t="shared" si="44"/>
        <v>12094.095833333335</v>
      </c>
      <c r="P42" s="9">
        <f t="shared" si="44"/>
        <v>12094.095833333335</v>
      </c>
      <c r="Q42" s="9">
        <f t="shared" si="44"/>
        <v>11946.353525641029</v>
      </c>
      <c r="R42" s="9">
        <f t="shared" si="44"/>
        <v>12254.19275</v>
      </c>
      <c r="S42" s="9">
        <f t="shared" si="44"/>
        <v>12111.195833333335</v>
      </c>
      <c r="T42" s="9">
        <f t="shared" si="44"/>
        <v>12094.095833333335</v>
      </c>
      <c r="U42" s="9">
        <f t="shared" si="44"/>
        <v>12240.588000852515</v>
      </c>
      <c r="V42" s="9">
        <f t="shared" si="44"/>
        <v>12061.775</v>
      </c>
      <c r="W42" s="9">
        <f t="shared" si="44"/>
        <v>11946.353525641029</v>
      </c>
      <c r="X42" s="9">
        <f t="shared" si="44"/>
        <v>12315.907608695652</v>
      </c>
      <c r="Y42" s="9">
        <f t="shared" si="44"/>
        <v>11946.353525641029</v>
      </c>
      <c r="Z42" s="9">
        <f t="shared" si="44"/>
        <v>11605.48825925926</v>
      </c>
      <c r="AA42" s="9">
        <f t="shared" si="44"/>
        <v>12717.938257575761</v>
      </c>
      <c r="AB42" s="9">
        <f t="shared" si="44"/>
        <v>11660.792307692307</v>
      </c>
      <c r="AC42" s="9">
        <f t="shared" si="44"/>
        <v>12254.150000000001</v>
      </c>
      <c r="AD42" s="9">
        <f t="shared" si="44"/>
        <v>12136.845833333335</v>
      </c>
      <c r="AE42" s="9">
        <f t="shared" si="44"/>
        <v>11798.477919947509</v>
      </c>
      <c r="AF42" s="9">
        <f t="shared" ref="AF42:AG42" si="45">SUM(AF35:AF37)*0.1*$C$4</f>
        <v>12315.907608695652</v>
      </c>
      <c r="AG42" s="9">
        <f t="shared" si="45"/>
        <v>12254.150000000001</v>
      </c>
    </row>
    <row r="43" spans="1:33" x14ac:dyDescent="0.35">
      <c r="B43" t="s">
        <v>48</v>
      </c>
      <c r="C43" s="9">
        <f>SUM(C41:C42)+$L$11+$M$11</f>
        <v>1610018.676902174</v>
      </c>
      <c r="D43" s="9">
        <f>SUM(D41:D42)+$L$11+$M$11</f>
        <v>1495367.4802083333</v>
      </c>
      <c r="E43" s="9">
        <f t="shared" ref="E43:Q43" si="46">SUM(E41:E42)+$L$11+$M$11</f>
        <v>1574168.3905641125</v>
      </c>
      <c r="F43" s="9">
        <f t="shared" si="46"/>
        <v>1344951.1362689394</v>
      </c>
      <c r="G43" s="9">
        <f t="shared" si="46"/>
        <v>1507074.3135416668</v>
      </c>
      <c r="H43" s="9">
        <f t="shared" si="46"/>
        <v>1512402.6816506414</v>
      </c>
      <c r="I43" s="9">
        <f t="shared" si="46"/>
        <v>1426964.0260416667</v>
      </c>
      <c r="J43" s="9">
        <f t="shared" si="46"/>
        <v>1536812.6504006414</v>
      </c>
      <c r="K43" s="9">
        <f t="shared" si="46"/>
        <v>1309541.3260795455</v>
      </c>
      <c r="L43" s="9">
        <f t="shared" si="46"/>
        <v>1447186.0108333332</v>
      </c>
      <c r="M43" s="9">
        <f t="shared" si="46"/>
        <v>1704381.9489583336</v>
      </c>
      <c r="N43" s="9">
        <f t="shared" si="46"/>
        <v>1526224.1504006414</v>
      </c>
      <c r="O43" s="9">
        <f t="shared" si="46"/>
        <v>1496833.1572916668</v>
      </c>
      <c r="P43" s="9">
        <f t="shared" si="46"/>
        <v>1509316.0958333334</v>
      </c>
      <c r="Q43" s="9">
        <f t="shared" si="46"/>
        <v>1594059.6972756411</v>
      </c>
      <c r="R43" s="9">
        <f t="shared" ref="R43:AG43" si="47">SUM(R41:R42)+$L$11+$M$11</f>
        <v>1646056.1744374998</v>
      </c>
      <c r="S43" s="9">
        <f t="shared" si="47"/>
        <v>1370933.8281250002</v>
      </c>
      <c r="T43" s="9">
        <f t="shared" si="47"/>
        <v>1634158.3458333334</v>
      </c>
      <c r="U43" s="9">
        <f t="shared" si="47"/>
        <v>1741207.5756393862</v>
      </c>
      <c r="V43" s="9">
        <f t="shared" si="47"/>
        <v>1535825.1979166667</v>
      </c>
      <c r="W43" s="9">
        <f t="shared" si="47"/>
        <v>1378670.8191506411</v>
      </c>
      <c r="X43" s="9">
        <f t="shared" si="47"/>
        <v>1823334.5747282607</v>
      </c>
      <c r="Y43" s="9">
        <f t="shared" si="47"/>
        <v>1386772.9993589746</v>
      </c>
      <c r="Z43" s="9">
        <f t="shared" si="47"/>
        <v>1827068.9093518518</v>
      </c>
      <c r="AA43" s="9">
        <f t="shared" si="47"/>
        <v>1705126.9265151515</v>
      </c>
      <c r="AB43" s="9">
        <f t="shared" si="47"/>
        <v>1644766.2548076923</v>
      </c>
      <c r="AC43" s="9">
        <f t="shared" si="47"/>
        <v>1390032.5562500001</v>
      </c>
      <c r="AD43" s="9">
        <f t="shared" si="47"/>
        <v>1724610.6927083335</v>
      </c>
      <c r="AE43" s="9">
        <f t="shared" si="47"/>
        <v>1543917.9925557745</v>
      </c>
      <c r="AF43" s="9">
        <f t="shared" si="47"/>
        <v>1479307.7464673913</v>
      </c>
      <c r="AG43" s="9">
        <f t="shared" si="47"/>
        <v>1453591.0322916668</v>
      </c>
    </row>
    <row r="44" spans="1:33" x14ac:dyDescent="0.35">
      <c r="B44" t="s">
        <v>49</v>
      </c>
      <c r="C44" s="9">
        <f>(C43+C39)/C34</f>
        <v>51.592741330413929</v>
      </c>
      <c r="D44" s="9">
        <f>$C$44</f>
        <v>51.592741330413929</v>
      </c>
      <c r="E44" s="9">
        <f t="shared" ref="E44:AG44" si="48">$C$44</f>
        <v>51.592741330413929</v>
      </c>
      <c r="F44" s="9">
        <f t="shared" si="48"/>
        <v>51.592741330413929</v>
      </c>
      <c r="G44" s="9">
        <f t="shared" si="48"/>
        <v>51.592741330413929</v>
      </c>
      <c r="H44" s="9">
        <f t="shared" si="48"/>
        <v>51.592741330413929</v>
      </c>
      <c r="I44" s="9">
        <f t="shared" si="48"/>
        <v>51.592741330413929</v>
      </c>
      <c r="J44" s="9">
        <f t="shared" si="48"/>
        <v>51.592741330413929</v>
      </c>
      <c r="K44" s="9">
        <f t="shared" si="48"/>
        <v>51.592741330413929</v>
      </c>
      <c r="L44" s="9">
        <f t="shared" si="48"/>
        <v>51.592741330413929</v>
      </c>
      <c r="M44" s="9">
        <f t="shared" si="48"/>
        <v>51.592741330413929</v>
      </c>
      <c r="N44" s="9">
        <f t="shared" si="48"/>
        <v>51.592741330413929</v>
      </c>
      <c r="O44" s="9">
        <f t="shared" si="48"/>
        <v>51.592741330413929</v>
      </c>
      <c r="P44" s="9">
        <f t="shared" si="48"/>
        <v>51.592741330413929</v>
      </c>
      <c r="Q44" s="9">
        <f t="shared" si="48"/>
        <v>51.592741330413929</v>
      </c>
      <c r="R44" s="9">
        <f t="shared" si="48"/>
        <v>51.592741330413929</v>
      </c>
      <c r="S44" s="9">
        <f t="shared" si="48"/>
        <v>51.592741330413929</v>
      </c>
      <c r="T44" s="9">
        <f t="shared" si="48"/>
        <v>51.592741330413929</v>
      </c>
      <c r="U44" s="9">
        <f t="shared" si="48"/>
        <v>51.592741330413929</v>
      </c>
      <c r="V44" s="9">
        <f t="shared" si="48"/>
        <v>51.592741330413929</v>
      </c>
      <c r="W44" s="9">
        <f t="shared" si="48"/>
        <v>51.592741330413929</v>
      </c>
      <c r="X44" s="9">
        <f t="shared" si="48"/>
        <v>51.592741330413929</v>
      </c>
      <c r="Y44" s="9">
        <f t="shared" si="48"/>
        <v>51.592741330413929</v>
      </c>
      <c r="Z44" s="9">
        <f t="shared" si="48"/>
        <v>51.592741330413929</v>
      </c>
      <c r="AA44" s="9">
        <f t="shared" si="48"/>
        <v>51.592741330413929</v>
      </c>
      <c r="AB44" s="9">
        <f t="shared" si="48"/>
        <v>51.592741330413929</v>
      </c>
      <c r="AC44" s="9">
        <f t="shared" si="48"/>
        <v>51.592741330413929</v>
      </c>
      <c r="AD44" s="9">
        <f t="shared" si="48"/>
        <v>51.592741330413929</v>
      </c>
      <c r="AE44" s="9">
        <f t="shared" si="48"/>
        <v>51.592741330413929</v>
      </c>
      <c r="AF44" s="9">
        <f t="shared" si="48"/>
        <v>51.592741330413929</v>
      </c>
      <c r="AG44" s="9">
        <f t="shared" si="48"/>
        <v>51.592741330413929</v>
      </c>
    </row>
    <row r="45" spans="1:33" x14ac:dyDescent="0.35">
      <c r="B45" t="s">
        <v>50</v>
      </c>
      <c r="C45" s="9">
        <f>(C44*C34-C43)/SUM(C35:C37)</f>
        <v>19250</v>
      </c>
      <c r="D45" s="9">
        <f>(D44*D34-D43)/SUM(D35:D37)</f>
        <v>20469.748213515599</v>
      </c>
      <c r="E45" s="9">
        <f t="shared" ref="E45:Q45" si="49">(E44*E34-E43)/SUM(E35:E37)</f>
        <v>20503.909203274252</v>
      </c>
      <c r="F45" s="9">
        <f t="shared" si="49"/>
        <v>21142.524904397047</v>
      </c>
      <c r="G45" s="9">
        <f t="shared" si="49"/>
        <v>20624.488883507041</v>
      </c>
      <c r="H45" s="9">
        <f t="shared" si="49"/>
        <v>20826.032007471935</v>
      </c>
      <c r="I45" s="9">
        <f t="shared" si="49"/>
        <v>21139.595938572009</v>
      </c>
      <c r="J45" s="9">
        <f t="shared" si="49"/>
        <v>21682.470094277112</v>
      </c>
      <c r="K45" s="9">
        <f t="shared" si="49"/>
        <v>21476.633872114053</v>
      </c>
      <c r="L45" s="9">
        <f t="shared" si="49"/>
        <v>20941.570112627331</v>
      </c>
      <c r="M45" s="9">
        <f t="shared" si="49"/>
        <v>18666.763678060717</v>
      </c>
      <c r="N45" s="9">
        <f t="shared" si="49"/>
        <v>21787.887493216906</v>
      </c>
      <c r="O45" s="9">
        <f t="shared" si="49"/>
        <v>20726.10365214587</v>
      </c>
      <c r="P45" s="9">
        <f t="shared" si="49"/>
        <v>20602.245478236633</v>
      </c>
      <c r="Q45" s="9">
        <f t="shared" si="49"/>
        <v>20005.794949028263</v>
      </c>
      <c r="R45" s="9">
        <f t="shared" ref="R45:AG45" si="50">(R44*R34-R43)/SUM(R35:R37)</f>
        <v>18994.552937166085</v>
      </c>
      <c r="S45" s="9">
        <f t="shared" si="50"/>
        <v>22148.750511177463</v>
      </c>
      <c r="T45" s="9">
        <f t="shared" si="50"/>
        <v>19363.536094215571</v>
      </c>
      <c r="U45" s="9">
        <f t="shared" si="50"/>
        <v>18082.346501941771</v>
      </c>
      <c r="V45" s="9">
        <f t="shared" si="50"/>
        <v>18083.935293704999</v>
      </c>
      <c r="W45" s="9">
        <f t="shared" si="50"/>
        <v>22169.356015551541</v>
      </c>
      <c r="X45" s="9">
        <f t="shared" si="50"/>
        <v>17171.557342549648</v>
      </c>
      <c r="Y45" s="9">
        <f t="shared" si="50"/>
        <v>22087.970375748293</v>
      </c>
      <c r="Z45" s="9">
        <f t="shared" si="50"/>
        <v>18184.085741076753</v>
      </c>
      <c r="AA45" s="9">
        <f t="shared" si="50"/>
        <v>17744.089249639899</v>
      </c>
      <c r="AB45" s="9">
        <f t="shared" si="50"/>
        <v>21301.239912659934</v>
      </c>
      <c r="AC45" s="9">
        <f t="shared" si="50"/>
        <v>21501.251081931605</v>
      </c>
      <c r="AD45" s="9">
        <f t="shared" si="50"/>
        <v>18911.116749949255</v>
      </c>
      <c r="AE45" s="9">
        <f t="shared" si="50"/>
        <v>17880.449981960435</v>
      </c>
      <c r="AF45" s="9">
        <f t="shared" si="50"/>
        <v>20523.581464763447</v>
      </c>
      <c r="AG45" s="9">
        <f t="shared" si="50"/>
        <v>20878.848293896528</v>
      </c>
    </row>
    <row r="46" spans="1:33" x14ac:dyDescent="0.35">
      <c r="B46" t="s">
        <v>53</v>
      </c>
      <c r="C46" s="11"/>
      <c r="D46" s="14">
        <f>D45/$C$45</f>
        <v>1.0633635435592519</v>
      </c>
      <c r="E46" s="14">
        <f t="shared" ref="E46:Q46" si="51">E45/$C$45</f>
        <v>1.0651381404298312</v>
      </c>
      <c r="F46" s="14">
        <f t="shared" si="51"/>
        <v>1.0983129820465998</v>
      </c>
      <c r="G46" s="14">
        <f t="shared" si="51"/>
        <v>1.0714020199224437</v>
      </c>
      <c r="H46" s="14">
        <f t="shared" si="51"/>
        <v>1.0818717925959447</v>
      </c>
      <c r="I46" s="14">
        <f t="shared" si="51"/>
        <v>1.0981608279777666</v>
      </c>
      <c r="J46" s="14">
        <f t="shared" si="51"/>
        <v>1.1263620828195902</v>
      </c>
      <c r="K46" s="14">
        <f t="shared" si="51"/>
        <v>1.1156692920578728</v>
      </c>
      <c r="L46" s="14">
        <f t="shared" si="51"/>
        <v>1.0878737720845366</v>
      </c>
      <c r="M46" s="14">
        <f t="shared" si="51"/>
        <v>0.96970200924990735</v>
      </c>
      <c r="N46" s="14">
        <f t="shared" si="51"/>
        <v>1.1318383113359431</v>
      </c>
      <c r="O46" s="14">
        <f t="shared" si="51"/>
        <v>1.0766807092023829</v>
      </c>
      <c r="P46" s="14">
        <f t="shared" si="51"/>
        <v>1.070246518349955</v>
      </c>
      <c r="Q46" s="14">
        <f t="shared" si="51"/>
        <v>1.0392620752741955</v>
      </c>
      <c r="R46" s="14">
        <f t="shared" ref="R46:AG46" si="52">R45/$C$45</f>
        <v>0.98673002270992649</v>
      </c>
      <c r="S46" s="14">
        <f t="shared" si="52"/>
        <v>1.1505844421390889</v>
      </c>
      <c r="T46" s="14">
        <f t="shared" si="52"/>
        <v>1.0058979789202893</v>
      </c>
      <c r="U46" s="14">
        <f t="shared" si="52"/>
        <v>0.9393426754255465</v>
      </c>
      <c r="V46" s="14">
        <f t="shared" si="52"/>
        <v>0.93942521006259738</v>
      </c>
      <c r="W46" s="14">
        <f t="shared" si="52"/>
        <v>1.1516548579507293</v>
      </c>
      <c r="X46" s="14">
        <f t="shared" si="52"/>
        <v>0.89202895285972195</v>
      </c>
      <c r="Y46" s="14">
        <f t="shared" si="52"/>
        <v>1.1474270325064049</v>
      </c>
      <c r="Z46" s="14">
        <f t="shared" si="52"/>
        <v>0.94462783070528589</v>
      </c>
      <c r="AA46" s="14">
        <f t="shared" si="52"/>
        <v>0.92177087011116354</v>
      </c>
      <c r="AB46" s="14">
        <f t="shared" si="52"/>
        <v>1.1065579175407758</v>
      </c>
      <c r="AC46" s="14">
        <f t="shared" si="52"/>
        <v>1.1169481081522912</v>
      </c>
      <c r="AD46" s="14">
        <f t="shared" si="52"/>
        <v>0.9823956753220392</v>
      </c>
      <c r="AE46" s="14">
        <f t="shared" si="52"/>
        <v>0.92885454451742522</v>
      </c>
      <c r="AF46" s="14">
        <f t="shared" si="52"/>
        <v>1.0661600760916077</v>
      </c>
      <c r="AG46" s="14">
        <f t="shared" si="52"/>
        <v>1.0846154957868326</v>
      </c>
    </row>
    <row r="47" spans="1:33" x14ac:dyDescent="0.35">
      <c r="D47" s="15"/>
      <c r="E47" s="15"/>
      <c r="F47" s="15"/>
      <c r="G47" s="15"/>
      <c r="H47" s="15"/>
      <c r="I47" s="15"/>
      <c r="J47" s="15"/>
      <c r="K47" s="15"/>
      <c r="L47" s="15"/>
      <c r="M47" s="15"/>
    </row>
    <row r="48" spans="1:33" x14ac:dyDescent="0.35">
      <c r="B48" t="s">
        <v>65</v>
      </c>
      <c r="D48" s="14">
        <f t="shared" ref="D48:AE48" si="53">(D32*D24+D46*D38)/(D24+D38)</f>
        <v>1.0614347196373719</v>
      </c>
      <c r="E48" s="14">
        <f t="shared" si="53"/>
        <v>1.0624941514455444</v>
      </c>
      <c r="F48" s="14">
        <f t="shared" si="53"/>
        <v>1.0972765468015491</v>
      </c>
      <c r="G48" s="14">
        <f t="shared" si="53"/>
        <v>1.0801770419229793</v>
      </c>
      <c r="H48" s="14">
        <f t="shared" si="53"/>
        <v>1.0923859455399094</v>
      </c>
      <c r="I48" s="14">
        <f t="shared" si="53"/>
        <v>1.0968471841104599</v>
      </c>
      <c r="J48" s="14">
        <f t="shared" si="53"/>
        <v>1.1283673529860432</v>
      </c>
      <c r="K48" s="14">
        <f t="shared" si="53"/>
        <v>1.1189769204274769</v>
      </c>
      <c r="L48" s="14">
        <f t="shared" si="53"/>
        <v>1.0862484868686959</v>
      </c>
      <c r="M48" s="14">
        <f t="shared" si="53"/>
        <v>0.9704498527108455</v>
      </c>
      <c r="N48" s="14">
        <f t="shared" si="53"/>
        <v>1.1342474667811886</v>
      </c>
      <c r="O48" s="14">
        <f t="shared" si="53"/>
        <v>1.0944895828685623</v>
      </c>
      <c r="P48" s="14">
        <f t="shared" si="53"/>
        <v>1.0706194654634558</v>
      </c>
      <c r="Q48" s="14">
        <f t="shared" si="53"/>
        <v>1.0393986646710138</v>
      </c>
      <c r="R48" s="14">
        <f t="shared" si="53"/>
        <v>0.98707668913134361</v>
      </c>
      <c r="S48" s="14">
        <f t="shared" si="53"/>
        <v>1.1518094140989628</v>
      </c>
      <c r="T48" s="14">
        <f t="shared" si="53"/>
        <v>1.0062555687116757</v>
      </c>
      <c r="U48" s="14">
        <f t="shared" si="53"/>
        <v>0.94206804357314333</v>
      </c>
      <c r="V48" s="14">
        <f t="shared" si="53"/>
        <v>0.93388616946204328</v>
      </c>
      <c r="W48" s="14">
        <f t="shared" si="53"/>
        <v>1.1543128736840784</v>
      </c>
      <c r="X48" s="14">
        <f t="shared" si="53"/>
        <v>0.89510823701173237</v>
      </c>
      <c r="Y48" s="14">
        <f t="shared" si="53"/>
        <v>1.1454492314011551</v>
      </c>
      <c r="Z48" s="14">
        <f t="shared" si="53"/>
        <v>0.9461471198442295</v>
      </c>
      <c r="AA48" s="14">
        <f t="shared" si="53"/>
        <v>0.92123793197731474</v>
      </c>
      <c r="AB48" s="14">
        <f t="shared" si="53"/>
        <v>1.119028736781841</v>
      </c>
      <c r="AC48" s="14">
        <f t="shared" si="53"/>
        <v>1.1242752380940879</v>
      </c>
      <c r="AD48" s="14">
        <f t="shared" si="53"/>
        <v>0.99448134623138196</v>
      </c>
      <c r="AE48" s="14">
        <f t="shared" si="53"/>
        <v>0.95162589866051062</v>
      </c>
      <c r="AF48" s="14">
        <f t="shared" ref="AF48:AG48" si="54">(AF32*AF24+AF46*AF38)/(AF24+AF38)</f>
        <v>1.0763714917626057</v>
      </c>
      <c r="AG48" s="14">
        <f t="shared" si="54"/>
        <v>1.0930921928297554</v>
      </c>
    </row>
    <row r="55" spans="3:12" x14ac:dyDescent="0.35">
      <c r="C55" s="5">
        <f>E48</f>
        <v>1.0624941514455444</v>
      </c>
      <c r="D55" s="4">
        <v>450</v>
      </c>
      <c r="E55" s="4">
        <v>550</v>
      </c>
      <c r="F55" s="4">
        <v>650</v>
      </c>
      <c r="G55" s="4">
        <v>750</v>
      </c>
      <c r="H55" s="4">
        <v>850</v>
      </c>
      <c r="I55" s="4">
        <v>950</v>
      </c>
      <c r="J55" s="4">
        <v>1050</v>
      </c>
      <c r="K55" s="4">
        <v>1150</v>
      </c>
      <c r="L55" s="4">
        <v>1200</v>
      </c>
    </row>
    <row r="56" spans="3:12" x14ac:dyDescent="0.35">
      <c r="C56" s="4">
        <v>10000</v>
      </c>
      <c r="D56" s="5">
        <f t="dataTable" ref="D56:L71" dt2D="1" dtr="1" r1="C3" r2="C2"/>
        <v>1.0654396892506288</v>
      </c>
      <c r="E56" s="5">
        <v>1.0698825589934133</v>
      </c>
      <c r="F56" s="5">
        <v>1.0743254287361979</v>
      </c>
      <c r="G56" s="5">
        <v>1.0787682984789824</v>
      </c>
      <c r="H56" s="5">
        <v>1.0832111682217671</v>
      </c>
      <c r="I56" s="5">
        <v>1.0876540379645518</v>
      </c>
      <c r="J56" s="5">
        <v>1.0920969077073361</v>
      </c>
      <c r="K56" s="5">
        <v>1.0965397774501209</v>
      </c>
      <c r="L56" s="5">
        <v>1.0987612123215134</v>
      </c>
    </row>
    <row r="57" spans="3:12" x14ac:dyDescent="0.35">
      <c r="C57" s="4">
        <v>11000</v>
      </c>
      <c r="D57" s="5">
        <v>1.0635712759995963</v>
      </c>
      <c r="E57" s="5">
        <v>1.067610248493037</v>
      </c>
      <c r="F57" s="5">
        <v>1.0716492209864772</v>
      </c>
      <c r="G57" s="5">
        <v>1.0756881934799176</v>
      </c>
      <c r="H57" s="5">
        <v>1.0797271659733585</v>
      </c>
      <c r="I57" s="5">
        <v>1.0837661384667989</v>
      </c>
      <c r="J57" s="5">
        <v>1.0878051109602391</v>
      </c>
      <c r="K57" s="5">
        <v>1.09184408345368</v>
      </c>
      <c r="L57" s="5">
        <v>1.0938635697004004</v>
      </c>
    </row>
    <row r="58" spans="3:12" x14ac:dyDescent="0.35">
      <c r="C58" s="4">
        <v>12000</v>
      </c>
      <c r="D58" s="5">
        <v>1.0620142649570692</v>
      </c>
      <c r="E58" s="5">
        <v>1.0657166564093898</v>
      </c>
      <c r="F58" s="5">
        <v>1.0694190478617098</v>
      </c>
      <c r="G58" s="5">
        <v>1.0731214393140305</v>
      </c>
      <c r="H58" s="5">
        <v>1.0768238307663509</v>
      </c>
      <c r="I58" s="5">
        <v>1.0805262222186716</v>
      </c>
      <c r="J58" s="5">
        <v>1.0842286136709918</v>
      </c>
      <c r="K58" s="5">
        <v>1.0879310051233126</v>
      </c>
      <c r="L58" s="5">
        <v>1.0897822008494729</v>
      </c>
    </row>
    <row r="59" spans="3:12" x14ac:dyDescent="0.35">
      <c r="C59" s="4">
        <v>13000</v>
      </c>
      <c r="D59" s="5">
        <v>1.0606967940749306</v>
      </c>
      <c r="E59" s="5">
        <v>1.0641143861847653</v>
      </c>
      <c r="F59" s="5">
        <v>1.0675319782945996</v>
      </c>
      <c r="G59" s="5">
        <v>1.0709495704044338</v>
      </c>
      <c r="H59" s="5">
        <v>1.0743671625142679</v>
      </c>
      <c r="I59" s="5">
        <v>1.0777847546241022</v>
      </c>
      <c r="J59" s="5">
        <v>1.0812023467339362</v>
      </c>
      <c r="K59" s="5">
        <v>1.0846199388437707</v>
      </c>
      <c r="L59" s="5">
        <v>1.0863287348986881</v>
      </c>
    </row>
    <row r="60" spans="3:12" x14ac:dyDescent="0.35">
      <c r="C60" s="4">
        <v>14000</v>
      </c>
      <c r="D60" s="5">
        <v>1.0595675333188119</v>
      </c>
      <c r="E60" s="5">
        <v>1.0627410117065157</v>
      </c>
      <c r="F60" s="5">
        <v>1.0659144900942188</v>
      </c>
      <c r="G60" s="5">
        <v>1.0690879684819221</v>
      </c>
      <c r="H60" s="5">
        <v>1.0722614468696252</v>
      </c>
      <c r="I60" s="5">
        <v>1.0754349252573285</v>
      </c>
      <c r="J60" s="5">
        <v>1.0786084036450316</v>
      </c>
      <c r="K60" s="5">
        <v>1.0817818820327352</v>
      </c>
      <c r="L60" s="5">
        <v>1.0833686212265867</v>
      </c>
    </row>
    <row r="61" spans="3:12" x14ac:dyDescent="0.35">
      <c r="C61" s="4">
        <v>15000</v>
      </c>
      <c r="D61" s="5">
        <v>1.0585888406635093</v>
      </c>
      <c r="E61" s="5">
        <v>1.0615507538253659</v>
      </c>
      <c r="F61" s="5">
        <v>1.0645126669872222</v>
      </c>
      <c r="G61" s="5">
        <v>1.0674745801490784</v>
      </c>
      <c r="H61" s="5">
        <v>1.0704364933109349</v>
      </c>
      <c r="I61" s="5">
        <v>1.0733984064727913</v>
      </c>
      <c r="J61" s="5">
        <v>1.0763603196346476</v>
      </c>
      <c r="K61" s="5">
        <v>1.0793222327965042</v>
      </c>
      <c r="L61" s="5">
        <v>1.0808031893774326</v>
      </c>
    </row>
    <row r="62" spans="3:12" x14ac:dyDescent="0.35">
      <c r="C62" s="4">
        <v>16000</v>
      </c>
      <c r="D62" s="5">
        <v>1.0577324845901195</v>
      </c>
      <c r="E62" s="5">
        <v>1.0605092781793599</v>
      </c>
      <c r="F62" s="5">
        <v>1.0632860717686001</v>
      </c>
      <c r="G62" s="5">
        <v>1.0660628653578406</v>
      </c>
      <c r="H62" s="5">
        <v>1.068839658947081</v>
      </c>
      <c r="I62" s="5">
        <v>1.0716164525363214</v>
      </c>
      <c r="J62" s="5">
        <v>1.0743932461255614</v>
      </c>
      <c r="K62" s="5">
        <v>1.0771700397148021</v>
      </c>
      <c r="L62" s="5">
        <v>1.0785584365094223</v>
      </c>
    </row>
    <row r="63" spans="3:12" x14ac:dyDescent="0.35">
      <c r="C63" s="4">
        <v>17000</v>
      </c>
      <c r="D63" s="5">
        <v>1.0569768762900693</v>
      </c>
      <c r="E63" s="5">
        <v>1.0595903290799429</v>
      </c>
      <c r="F63" s="5">
        <v>1.062203781869816</v>
      </c>
      <c r="G63" s="5">
        <v>1.0648172346596894</v>
      </c>
      <c r="H63" s="5">
        <v>1.0674306874495629</v>
      </c>
      <c r="I63" s="5">
        <v>1.0700441402394363</v>
      </c>
      <c r="J63" s="5">
        <v>1.0726575930293092</v>
      </c>
      <c r="K63" s="5">
        <v>1.0752710458191828</v>
      </c>
      <c r="L63" s="5">
        <v>1.0765777722141194</v>
      </c>
    </row>
    <row r="64" spans="3:12" x14ac:dyDescent="0.35">
      <c r="C64" s="4">
        <v>18000</v>
      </c>
      <c r="D64" s="5">
        <v>1.0563052244678026</v>
      </c>
      <c r="E64" s="5">
        <v>1.0587734854360167</v>
      </c>
      <c r="F64" s="5">
        <v>1.0612417464042301</v>
      </c>
      <c r="G64" s="5">
        <v>1.0637100073724439</v>
      </c>
      <c r="H64" s="5">
        <v>1.0661782683406578</v>
      </c>
      <c r="I64" s="5">
        <v>1.0686465293088714</v>
      </c>
      <c r="J64" s="5">
        <v>1.0711147902770846</v>
      </c>
      <c r="K64" s="5">
        <v>1.0735830512452986</v>
      </c>
      <c r="L64" s="5">
        <v>1.0748171817294054</v>
      </c>
    </row>
    <row r="65" spans="3:12" x14ac:dyDescent="0.35">
      <c r="C65" s="4">
        <v>19000</v>
      </c>
      <c r="D65" s="5">
        <v>1.0557042728373538</v>
      </c>
      <c r="E65" s="5">
        <v>1.0580426253335564</v>
      </c>
      <c r="F65" s="5">
        <v>1.0603809778297588</v>
      </c>
      <c r="G65" s="5">
        <v>1.0627193303259612</v>
      </c>
      <c r="H65" s="5">
        <v>1.0650576828221636</v>
      </c>
      <c r="I65" s="5">
        <v>1.0673960353183662</v>
      </c>
      <c r="J65" s="5">
        <v>1.0697343878145684</v>
      </c>
      <c r="K65" s="5">
        <v>1.0720727403107708</v>
      </c>
      <c r="L65" s="5">
        <v>1.073241916558872</v>
      </c>
    </row>
    <row r="66" spans="3:12" x14ac:dyDescent="0.35">
      <c r="C66" s="4">
        <v>20000</v>
      </c>
      <c r="D66" s="5">
        <v>1.0551634163699497</v>
      </c>
      <c r="E66" s="5">
        <v>1.057384851241342</v>
      </c>
      <c r="F66" s="5">
        <v>1.0596062861127342</v>
      </c>
      <c r="G66" s="5">
        <v>1.0618277209841265</v>
      </c>
      <c r="H66" s="6">
        <v>1.064049155855519</v>
      </c>
      <c r="I66" s="5">
        <v>1.0662705907269112</v>
      </c>
      <c r="J66" s="5">
        <v>1.0684920255983035</v>
      </c>
      <c r="K66" s="5">
        <v>1.0707134604696957</v>
      </c>
      <c r="L66" s="5">
        <v>1.0718241779053921</v>
      </c>
    </row>
    <row r="67" spans="3:12" x14ac:dyDescent="0.35">
      <c r="C67" s="4">
        <v>21000</v>
      </c>
      <c r="D67" s="5">
        <v>1.0546740700422983</v>
      </c>
      <c r="E67" s="5">
        <v>1.0567897223007672</v>
      </c>
      <c r="F67" s="5">
        <v>1.0589053745592361</v>
      </c>
      <c r="G67" s="5">
        <v>1.0610210268177052</v>
      </c>
      <c r="H67" s="5">
        <v>1.0631366790761738</v>
      </c>
      <c r="I67" s="5">
        <v>1.0652523313346427</v>
      </c>
      <c r="J67" s="5">
        <v>1.0673679835931114</v>
      </c>
      <c r="K67" s="5">
        <v>1.0694836358515802</v>
      </c>
      <c r="L67" s="5">
        <v>1.0705414619808147</v>
      </c>
    </row>
    <row r="68" spans="3:12" x14ac:dyDescent="0.35">
      <c r="C68" s="4">
        <v>22000</v>
      </c>
      <c r="D68" s="5">
        <v>1.0542292097444335</v>
      </c>
      <c r="E68" s="5">
        <v>1.0562486959911539</v>
      </c>
      <c r="F68" s="5">
        <v>1.0582681822378741</v>
      </c>
      <c r="G68" s="5">
        <v>1.0602876684845941</v>
      </c>
      <c r="H68" s="5">
        <v>1.0623071547313145</v>
      </c>
      <c r="I68" s="5">
        <v>1.0643266409780348</v>
      </c>
      <c r="J68" s="5">
        <v>1.066346127224755</v>
      </c>
      <c r="K68" s="5">
        <v>1.0683656134714754</v>
      </c>
      <c r="L68" s="5">
        <v>1.0693753565948356</v>
      </c>
    </row>
    <row r="69" spans="3:12" x14ac:dyDescent="0.35">
      <c r="C69" s="4">
        <v>23000</v>
      </c>
      <c r="D69" s="5">
        <v>1.0538230329507305</v>
      </c>
      <c r="E69" s="5">
        <v>1.0557547154475937</v>
      </c>
      <c r="F69" s="5">
        <v>1.0576863979444564</v>
      </c>
      <c r="G69" s="5">
        <v>1.0596180804413191</v>
      </c>
      <c r="H69" s="5">
        <v>1.061549762938182</v>
      </c>
      <c r="I69" s="5">
        <v>1.063481445435045</v>
      </c>
      <c r="J69" s="5">
        <v>1.0654131279319077</v>
      </c>
      <c r="K69" s="5">
        <v>1.0673448104287708</v>
      </c>
      <c r="L69" s="5">
        <v>1.0683106516772023</v>
      </c>
    </row>
    <row r="70" spans="3:12" x14ac:dyDescent="0.35">
      <c r="C70" s="4">
        <v>24000</v>
      </c>
      <c r="D70" s="5">
        <v>1.0534507042231698</v>
      </c>
      <c r="E70" s="5">
        <v>1.05530189994933</v>
      </c>
      <c r="F70" s="5">
        <v>1.0571530956754904</v>
      </c>
      <c r="G70" s="5">
        <v>1.0590042914016506</v>
      </c>
      <c r="H70" s="5">
        <v>1.0608554871278109</v>
      </c>
      <c r="I70" s="5">
        <v>1.0627066828539713</v>
      </c>
      <c r="J70" s="5">
        <v>1.0645578785801313</v>
      </c>
      <c r="K70" s="5">
        <v>1.0664090743062917</v>
      </c>
      <c r="L70" s="5">
        <v>1.0673346721693719</v>
      </c>
    </row>
    <row r="71" spans="3:12" x14ac:dyDescent="0.35">
      <c r="C71" s="4">
        <v>25000</v>
      </c>
      <c r="D71" s="5">
        <v>1.0531081617938138</v>
      </c>
      <c r="E71" s="5">
        <v>1.0548853096909279</v>
      </c>
      <c r="F71" s="5">
        <v>1.0566624575880414</v>
      </c>
      <c r="G71" s="5">
        <v>1.0584396054851555</v>
      </c>
      <c r="H71" s="5">
        <v>1.0602167533822693</v>
      </c>
      <c r="I71" s="5">
        <v>1.0619939012793833</v>
      </c>
      <c r="J71" s="5">
        <v>1.0637710491764969</v>
      </c>
      <c r="K71" s="5">
        <v>1.0655481970736107</v>
      </c>
      <c r="L71" s="5">
        <v>1.0664367710221676</v>
      </c>
    </row>
  </sheetData>
  <conditionalFormatting sqref="D56:L7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518AF-67FF-4597-9C8B-0584902F48AF}">
  <dimension ref="A1:B18"/>
  <sheetViews>
    <sheetView workbookViewId="0">
      <selection activeCell="I19" sqref="I19"/>
    </sheetView>
  </sheetViews>
  <sheetFormatPr defaultRowHeight="14.5" x14ac:dyDescent="0.35"/>
  <cols>
    <col min="1" max="1" width="14.6328125" customWidth="1"/>
  </cols>
  <sheetData>
    <row r="1" spans="1:2" x14ac:dyDescent="0.35">
      <c r="A1" s="1" t="s">
        <v>25</v>
      </c>
    </row>
    <row r="2" spans="1:2" x14ac:dyDescent="0.35">
      <c r="A2" t="s">
        <v>0</v>
      </c>
    </row>
    <row r="3" spans="1:2" x14ac:dyDescent="0.35">
      <c r="A3" t="s">
        <v>1</v>
      </c>
    </row>
    <row r="4" spans="1:2" x14ac:dyDescent="0.35">
      <c r="A4" t="s">
        <v>2</v>
      </c>
    </row>
    <row r="5" spans="1:2" x14ac:dyDescent="0.35">
      <c r="A5" t="s">
        <v>3</v>
      </c>
    </row>
    <row r="6" spans="1:2" x14ac:dyDescent="0.35">
      <c r="A6" t="s">
        <v>26</v>
      </c>
    </row>
    <row r="7" spans="1:2" x14ac:dyDescent="0.35">
      <c r="A7" t="s">
        <v>18</v>
      </c>
    </row>
    <row r="9" spans="1:2" x14ac:dyDescent="0.35">
      <c r="A9" s="1" t="s">
        <v>14</v>
      </c>
    </row>
    <row r="10" spans="1:2" x14ac:dyDescent="0.35">
      <c r="A10" t="s">
        <v>15</v>
      </c>
      <c r="B10">
        <v>82500</v>
      </c>
    </row>
    <row r="11" spans="1:2" x14ac:dyDescent="0.35">
      <c r="A11" t="s">
        <v>22</v>
      </c>
      <c r="B11">
        <v>70.5</v>
      </c>
    </row>
    <row r="12" spans="1:2" x14ac:dyDescent="0.35">
      <c r="A12" t="s">
        <v>16</v>
      </c>
      <c r="B12">
        <v>14.43</v>
      </c>
    </row>
    <row r="13" spans="1:2" x14ac:dyDescent="0.35">
      <c r="A13" t="s">
        <v>17</v>
      </c>
      <c r="B13">
        <v>97000</v>
      </c>
    </row>
    <row r="14" spans="1:2" x14ac:dyDescent="0.35">
      <c r="A14" t="s">
        <v>19</v>
      </c>
      <c r="B14">
        <v>11.5</v>
      </c>
    </row>
    <row r="15" spans="1:2" x14ac:dyDescent="0.35">
      <c r="A15" t="s">
        <v>20</v>
      </c>
      <c r="B15">
        <v>12.5</v>
      </c>
    </row>
    <row r="16" spans="1:2" x14ac:dyDescent="0.35">
      <c r="A16" t="s">
        <v>23</v>
      </c>
      <c r="B16">
        <v>22</v>
      </c>
    </row>
    <row r="17" spans="1:2" x14ac:dyDescent="0.35">
      <c r="A17" t="s">
        <v>24</v>
      </c>
      <c r="B17">
        <v>23</v>
      </c>
    </row>
    <row r="18" spans="1:2" x14ac:dyDescent="0.35">
      <c r="A18" t="s">
        <v>21</v>
      </c>
      <c r="B18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 freight rates</vt:lpstr>
      <vt:lpstr>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juan.vanvyve</dc:creator>
  <cp:lastModifiedBy>juan.vanvyve</cp:lastModifiedBy>
  <dcterms:created xsi:type="dcterms:W3CDTF">2026-05-19T07:15:20Z</dcterms:created>
  <dcterms:modified xsi:type="dcterms:W3CDTF">2026-06-10T01:55:57Z</dcterms:modified>
</cp:coreProperties>
</file>